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una Dios\Documents\FHVD\7. Trimester\Sprint 2\"/>
    </mc:Choice>
  </mc:AlternateContent>
  <bookViews>
    <workbookView xWindow="0" yWindow="0" windowWidth="17268" windowHeight="7098"/>
  </bookViews>
  <sheets>
    <sheet name="Kalender" sheetId="1" r:id="rId1"/>
    <sheet name="Feiertage" sheetId="2" r:id="rId2"/>
  </sheets>
  <definedNames>
    <definedName name="_xlnm.Print_Area" localSheetId="0">Kalender!$A$1:$F$72</definedName>
    <definedName name="_xlnm.Print_Titles" localSheetId="0">Kalender!$1:$3</definedName>
  </definedNames>
  <calcPr calcId="162913" forceFullCalc="1"/>
</workbook>
</file>

<file path=xl/calcChain.xml><?xml version="1.0" encoding="utf-8"?>
<calcChain xmlns="http://schemas.openxmlformats.org/spreadsheetml/2006/main">
  <c r="A13" i="2" l="1"/>
  <c r="A12" i="2"/>
  <c r="A11" i="2"/>
  <c r="A10" i="2"/>
  <c r="A6" i="2"/>
  <c r="G4" i="2"/>
  <c r="N4" i="2" s="1"/>
  <c r="F4" i="2"/>
  <c r="E4" i="2"/>
  <c r="A2" i="2"/>
  <c r="E71" i="1"/>
  <c r="C71" i="1"/>
  <c r="F34" i="1"/>
  <c r="D34" i="1"/>
  <c r="B34" i="1"/>
  <c r="B33" i="1"/>
  <c r="B32" i="1"/>
  <c r="A4" i="1"/>
  <c r="H4" i="2" l="1"/>
  <c r="I4" i="2"/>
  <c r="J4" i="2"/>
  <c r="K4" i="2" s="1"/>
  <c r="M4" i="2"/>
  <c r="L4" i="2" l="1"/>
  <c r="O4" i="2" s="1"/>
  <c r="P4" i="2" l="1"/>
  <c r="R4" i="2" s="1"/>
  <c r="Q4" i="2" l="1"/>
  <c r="E1" i="2" s="1"/>
  <c r="A3" i="2" l="1"/>
  <c r="A9" i="2"/>
  <c r="A8" i="2"/>
  <c r="A7" i="2"/>
  <c r="A5" i="2"/>
  <c r="A4" i="2"/>
  <c r="C70" i="1" l="1"/>
  <c r="C68" i="1"/>
  <c r="C66" i="1"/>
  <c r="C64" i="1"/>
  <c r="C62" i="1"/>
  <c r="C60" i="1"/>
  <c r="C58" i="1"/>
  <c r="C56" i="1"/>
  <c r="C54" i="1"/>
  <c r="C52" i="1"/>
  <c r="C50" i="1"/>
  <c r="C48" i="1"/>
  <c r="C46" i="1"/>
  <c r="C44" i="1"/>
  <c r="C42" i="1"/>
  <c r="C34" i="1"/>
  <c r="C32" i="1"/>
  <c r="C30" i="1"/>
  <c r="C28" i="1"/>
  <c r="C26" i="1"/>
  <c r="C24" i="1"/>
  <c r="C22" i="1"/>
  <c r="C20" i="1"/>
  <c r="C18" i="1"/>
  <c r="C16" i="1"/>
  <c r="C14" i="1"/>
  <c r="C12" i="1"/>
  <c r="C10" i="1"/>
  <c r="C8" i="1"/>
  <c r="C6" i="1"/>
  <c r="C4" i="1"/>
  <c r="B12" i="1"/>
  <c r="B8" i="1"/>
  <c r="B4" i="1"/>
  <c r="F5" i="1"/>
  <c r="B47" i="1"/>
  <c r="B23" i="1"/>
  <c r="B7" i="1"/>
  <c r="E44" i="1"/>
  <c r="E20" i="1"/>
  <c r="E8" i="1"/>
  <c r="B70" i="1"/>
  <c r="B68" i="1"/>
  <c r="B66" i="1"/>
  <c r="B64" i="1"/>
  <c r="B62" i="1"/>
  <c r="B60" i="1"/>
  <c r="B58" i="1"/>
  <c r="B56" i="1"/>
  <c r="B54" i="1"/>
  <c r="B52" i="1"/>
  <c r="B50" i="1"/>
  <c r="B48" i="1"/>
  <c r="B46" i="1"/>
  <c r="B44" i="1"/>
  <c r="B42" i="1"/>
  <c r="B30" i="1"/>
  <c r="B28" i="1"/>
  <c r="B26" i="1"/>
  <c r="B24" i="1"/>
  <c r="B22" i="1"/>
  <c r="B20" i="1"/>
  <c r="B18" i="1"/>
  <c r="B16" i="1"/>
  <c r="B14" i="1"/>
  <c r="B10" i="1"/>
  <c r="B6" i="1"/>
  <c r="A6" i="1"/>
  <c r="B55" i="1"/>
  <c r="B29" i="1"/>
  <c r="B15" i="1"/>
  <c r="E50" i="1"/>
  <c r="E22" i="1"/>
  <c r="A70" i="1"/>
  <c r="A68" i="1"/>
  <c r="A66" i="1"/>
  <c r="A64" i="1"/>
  <c r="A62" i="1"/>
  <c r="A60" i="1"/>
  <c r="A58" i="1"/>
  <c r="A56" i="1"/>
  <c r="A54" i="1"/>
  <c r="A52" i="1"/>
  <c r="A50" i="1"/>
  <c r="A48" i="1"/>
  <c r="A46" i="1"/>
  <c r="A44" i="1"/>
  <c r="A42" i="1"/>
  <c r="A34" i="1"/>
  <c r="A32" i="1"/>
  <c r="A30" i="1"/>
  <c r="A28" i="1"/>
  <c r="A26" i="1"/>
  <c r="A24" i="1"/>
  <c r="A22" i="1"/>
  <c r="A20" i="1"/>
  <c r="A18" i="1"/>
  <c r="A16" i="1"/>
  <c r="A14" i="1"/>
  <c r="A12" i="1"/>
  <c r="A10" i="1"/>
  <c r="A8" i="1"/>
  <c r="B43" i="1"/>
  <c r="B13" i="1"/>
  <c r="E46" i="1"/>
  <c r="E18" i="1"/>
  <c r="F71" i="1"/>
  <c r="F69" i="1"/>
  <c r="F67" i="1"/>
  <c r="F65" i="1"/>
  <c r="F63" i="1"/>
  <c r="F61" i="1"/>
  <c r="F59" i="1"/>
  <c r="F57" i="1"/>
  <c r="F55" i="1"/>
  <c r="F53" i="1"/>
  <c r="F51" i="1"/>
  <c r="F49" i="1"/>
  <c r="F47" i="1"/>
  <c r="F45" i="1"/>
  <c r="F43" i="1"/>
  <c r="F41" i="1"/>
  <c r="F33" i="1"/>
  <c r="F31" i="1"/>
  <c r="F29" i="1"/>
  <c r="F27" i="1"/>
  <c r="F25" i="1"/>
  <c r="F23" i="1"/>
  <c r="F21" i="1"/>
  <c r="F19" i="1"/>
  <c r="F17" i="1"/>
  <c r="F15" i="1"/>
  <c r="F13" i="1"/>
  <c r="F11" i="1"/>
  <c r="F9" i="1"/>
  <c r="F7" i="1"/>
  <c r="B57" i="1"/>
  <c r="B41" i="1"/>
  <c r="B19" i="1"/>
  <c r="E56" i="1"/>
  <c r="E26" i="1"/>
  <c r="E6" i="1"/>
  <c r="E69" i="1"/>
  <c r="E67" i="1"/>
  <c r="E65" i="1"/>
  <c r="E63" i="1"/>
  <c r="E61" i="1"/>
  <c r="E59" i="1"/>
  <c r="E57" i="1"/>
  <c r="E55" i="1"/>
  <c r="E53" i="1"/>
  <c r="E51" i="1"/>
  <c r="E49" i="1"/>
  <c r="E47" i="1"/>
  <c r="E45" i="1"/>
  <c r="E43" i="1"/>
  <c r="E41" i="1"/>
  <c r="E33" i="1"/>
  <c r="E31" i="1"/>
  <c r="E29" i="1"/>
  <c r="E27" i="1"/>
  <c r="E25" i="1"/>
  <c r="E23" i="1"/>
  <c r="E21" i="1"/>
  <c r="E19" i="1"/>
  <c r="E17" i="1"/>
  <c r="E15" i="1"/>
  <c r="E13" i="1"/>
  <c r="E11" i="1"/>
  <c r="E9" i="1"/>
  <c r="E7" i="1"/>
  <c r="E5" i="1"/>
  <c r="D7" i="1"/>
  <c r="D5" i="1"/>
  <c r="B67" i="1"/>
  <c r="B61" i="1"/>
  <c r="B49" i="1"/>
  <c r="B25" i="1"/>
  <c r="B11" i="1"/>
  <c r="E52" i="1"/>
  <c r="E30" i="1"/>
  <c r="E12" i="1"/>
  <c r="D71" i="1"/>
  <c r="D69" i="1"/>
  <c r="D67" i="1"/>
  <c r="D65" i="1"/>
  <c r="D63" i="1"/>
  <c r="D61" i="1"/>
  <c r="D59" i="1"/>
  <c r="D57" i="1"/>
  <c r="D55" i="1"/>
  <c r="D53" i="1"/>
  <c r="D51" i="1"/>
  <c r="D49" i="1"/>
  <c r="D47" i="1"/>
  <c r="D45" i="1"/>
  <c r="D43" i="1"/>
  <c r="D41" i="1"/>
  <c r="D33" i="1"/>
  <c r="D31" i="1"/>
  <c r="D29" i="1"/>
  <c r="D27" i="1"/>
  <c r="D25" i="1"/>
  <c r="D23" i="1"/>
  <c r="D21" i="1"/>
  <c r="D19" i="1"/>
  <c r="D17" i="1"/>
  <c r="D15" i="1"/>
  <c r="D13" i="1"/>
  <c r="D11" i="1"/>
  <c r="D9" i="1"/>
  <c r="C5" i="1"/>
  <c r="B65" i="1"/>
  <c r="B53" i="1"/>
  <c r="B31" i="1"/>
  <c r="B17" i="1"/>
  <c r="E48" i="1"/>
  <c r="E24" i="1"/>
  <c r="C69" i="1"/>
  <c r="C67" i="1"/>
  <c r="C65" i="1"/>
  <c r="C63" i="1"/>
  <c r="C61" i="1"/>
  <c r="C59" i="1"/>
  <c r="C57" i="1"/>
  <c r="C55" i="1"/>
  <c r="C53" i="1"/>
  <c r="C51" i="1"/>
  <c r="C49" i="1"/>
  <c r="C47" i="1"/>
  <c r="C45" i="1"/>
  <c r="C43" i="1"/>
  <c r="C41" i="1"/>
  <c r="C33" i="1"/>
  <c r="C31" i="1"/>
  <c r="C29" i="1"/>
  <c r="C27" i="1"/>
  <c r="C25" i="1"/>
  <c r="C23" i="1"/>
  <c r="C21" i="1"/>
  <c r="C19" i="1"/>
  <c r="C17" i="1"/>
  <c r="C15" i="1"/>
  <c r="C13" i="1"/>
  <c r="C11" i="1"/>
  <c r="C9" i="1"/>
  <c r="C7" i="1"/>
  <c r="B69" i="1"/>
  <c r="B63" i="1"/>
  <c r="B51" i="1"/>
  <c r="B27" i="1"/>
  <c r="B9" i="1"/>
  <c r="E42" i="1"/>
  <c r="E16" i="1"/>
  <c r="B71" i="1"/>
  <c r="A71" i="1"/>
  <c r="A69" i="1"/>
  <c r="A67" i="1"/>
  <c r="A65" i="1"/>
  <c r="A63" i="1"/>
  <c r="A61" i="1"/>
  <c r="A59" i="1"/>
  <c r="A57" i="1"/>
  <c r="A55" i="1"/>
  <c r="A53" i="1"/>
  <c r="A51" i="1"/>
  <c r="A49" i="1"/>
  <c r="A47" i="1"/>
  <c r="A45" i="1"/>
  <c r="A43" i="1"/>
  <c r="A41" i="1"/>
  <c r="A33" i="1"/>
  <c r="A31" i="1"/>
  <c r="A29" i="1"/>
  <c r="A27" i="1"/>
  <c r="A25" i="1"/>
  <c r="A23" i="1"/>
  <c r="A21" i="1"/>
  <c r="A19" i="1"/>
  <c r="A17" i="1"/>
  <c r="A15" i="1"/>
  <c r="A13" i="1"/>
  <c r="A11" i="1"/>
  <c r="A9" i="1"/>
  <c r="A7" i="1"/>
  <c r="A5" i="1"/>
  <c r="E66" i="1"/>
  <c r="E60" i="1"/>
  <c r="E58" i="1"/>
  <c r="E32" i="1"/>
  <c r="E10" i="1"/>
  <c r="F70" i="1"/>
  <c r="F68" i="1"/>
  <c r="F66" i="1"/>
  <c r="F64" i="1"/>
  <c r="F62" i="1"/>
  <c r="F60" i="1"/>
  <c r="F58" i="1"/>
  <c r="F56" i="1"/>
  <c r="F54" i="1"/>
  <c r="F52" i="1"/>
  <c r="F50" i="1"/>
  <c r="F48" i="1"/>
  <c r="F46" i="1"/>
  <c r="F44" i="1"/>
  <c r="F42" i="1"/>
  <c r="F32" i="1"/>
  <c r="F30" i="1"/>
  <c r="F28" i="1"/>
  <c r="F26" i="1"/>
  <c r="F24" i="1"/>
  <c r="F22" i="1"/>
  <c r="F20" i="1"/>
  <c r="F18" i="1"/>
  <c r="F16" i="1"/>
  <c r="F14" i="1"/>
  <c r="F12" i="1"/>
  <c r="F10" i="1"/>
  <c r="F8" i="1"/>
  <c r="F6" i="1"/>
  <c r="F4" i="1"/>
  <c r="E68" i="1"/>
  <c r="E64" i="1"/>
  <c r="E62" i="1"/>
  <c r="E54" i="1"/>
  <c r="E28" i="1"/>
  <c r="E4" i="1"/>
  <c r="E70" i="1"/>
  <c r="D70" i="1"/>
  <c r="D68" i="1"/>
  <c r="D66" i="1"/>
  <c r="D64" i="1"/>
  <c r="D62" i="1"/>
  <c r="D60" i="1"/>
  <c r="D58" i="1"/>
  <c r="D56" i="1"/>
  <c r="D54" i="1"/>
  <c r="D52" i="1"/>
  <c r="D50" i="1"/>
  <c r="D48" i="1"/>
  <c r="D46" i="1"/>
  <c r="D44" i="1"/>
  <c r="D42" i="1"/>
  <c r="D32" i="1"/>
  <c r="D30" i="1"/>
  <c r="D28" i="1"/>
  <c r="D26" i="1"/>
  <c r="D24" i="1"/>
  <c r="D22" i="1"/>
  <c r="D20" i="1"/>
  <c r="D18" i="1"/>
  <c r="D16" i="1"/>
  <c r="D14" i="1"/>
  <c r="D12" i="1"/>
  <c r="D10" i="1"/>
  <c r="D8" i="1"/>
  <c r="D6" i="1"/>
  <c r="D4" i="1"/>
  <c r="B59" i="1"/>
  <c r="B45" i="1"/>
  <c r="B21" i="1"/>
  <c r="B5" i="1"/>
  <c r="E34" i="1"/>
  <c r="E14" i="1"/>
</calcChain>
</file>

<file path=xl/sharedStrings.xml><?xml version="1.0" encoding="utf-8"?>
<sst xmlns="http://schemas.openxmlformats.org/spreadsheetml/2006/main" count="45" uniqueCount="45">
  <si>
    <t>Kalender – Jahr ändern:</t>
  </si>
  <si>
    <t>Januar</t>
  </si>
  <si>
    <t>Februar</t>
  </si>
  <si>
    <t>März</t>
  </si>
  <si>
    <t>April</t>
  </si>
  <si>
    <t>Mai</t>
  </si>
  <si>
    <t>Juni</t>
  </si>
  <si>
    <t>Juli</t>
  </si>
  <si>
    <t>August</t>
  </si>
  <si>
    <t>September</t>
  </si>
  <si>
    <t>Oktober</t>
  </si>
  <si>
    <t>November</t>
  </si>
  <si>
    <t>Dezember</t>
  </si>
  <si>
    <t>Datum</t>
  </si>
  <si>
    <t>Feiertag</t>
  </si>
  <si>
    <t>Ostersonntag (berechnet)</t>
  </si>
  <si>
    <t>Neujahr</t>
  </si>
  <si>
    <t>Karfreitag</t>
  </si>
  <si>
    <t>a</t>
  </si>
  <si>
    <t>b</t>
  </si>
  <si>
    <t>c</t>
  </si>
  <si>
    <t>d</t>
  </si>
  <si>
    <t>e</t>
  </si>
  <si>
    <t>f</t>
  </si>
  <si>
    <t>g</t>
  </si>
  <si>
    <t>h</t>
  </si>
  <si>
    <t>i</t>
  </si>
  <si>
    <t>k</t>
  </si>
  <si>
    <t>l</t>
  </si>
  <si>
    <t>m</t>
  </si>
  <si>
    <t>Monat</t>
  </si>
  <si>
    <t>Tag</t>
  </si>
  <si>
    <t>Ostern</t>
  </si>
  <si>
    <t>Ostermontag</t>
  </si>
  <si>
    <t>Tag der Arbeit</t>
  </si>
  <si>
    <t>Christi Himmelfahrt</t>
  </si>
  <si>
    <t>Pfingsten</t>
  </si>
  <si>
    <t>Pfingstmontag</t>
  </si>
  <si>
    <t>Tag der Deutschen Einheit</t>
  </si>
  <si>
    <t>Reformationstag (SH)</t>
  </si>
  <si>
    <t>1. Weihnachtstag</t>
  </si>
  <si>
    <t>2. Weihnachtstag</t>
  </si>
  <si>
    <t>Hinweis</t>
  </si>
  <si>
    <t>Feiertage sind für Schleswig-Holstein zusammengestellt; bitte bei Bedarf anpassen.</t>
  </si>
  <si>
    <t>Jahr im gelben Kasten ändern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</si>
</sst>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.mm\.yyyy"/>
  </numFmts>
  <fonts count="7" x14ac:knownFonts="1">
    <font>
      <sz val="11"/>
      <color theme="1"/>
      <name val="Calibri"/>
      <family val="2"/>
      <scheme val="minor"/>
    </font>
    <font>
      <b/>
      <sz val="16"/>
      <color rgb="FF173B56"/>
      <name val="Arial"/>
    </font>
    <font>
      <i/>
      <sz val="11"/>
      <color rgb="FF666666"/>
      <name val="Calibri"/>
    </font>
    <font>
      <b/>
      <sz val="11"/>
      <color rgb="FFFFFFFF"/>
      <name val="Calibri"/>
    </font>
    <font>
      <b/>
      <sz val="11"/>
      <name val="Calibri"/>
    </font>
    <font>
      <b/>
      <sz val="11"/>
      <color rgb="FFFFFFFF"/>
      <name val="Calibri"/>
    </font>
    <font>
      <sz val="9"/>
      <color rgb="FF222222"/>
      <name val="Arial"/>
    </font>
  </fonts>
  <fills count="7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173B56"/>
      </patternFill>
    </fill>
    <fill>
      <patternFill patternType="solid">
        <fgColor rgb="FFDCE8C4"/>
      </patternFill>
    </fill>
    <fill>
      <patternFill patternType="solid">
        <fgColor rgb="FFF4F8FB"/>
      </patternFill>
    </fill>
    <fill>
      <patternFill patternType="solid">
        <fgColor rgb="FFFFFFFF"/>
      </patternFill>
    </fill>
  </fills>
  <borders count="7">
    <border>
      <left/>
      <right/>
      <top/>
      <bottom/>
      <diagonal/>
    </border>
    <border>
      <left style="medium">
        <color rgb="FF173B56"/>
      </left>
      <right style="thin">
        <color rgb="FF808080"/>
      </right>
      <top style="medium">
        <color rgb="FF173B56"/>
      </top>
      <bottom style="medium">
        <color rgb="FF173B56"/>
      </bottom>
      <diagonal/>
    </border>
    <border>
      <left style="medium">
        <color rgb="FF173B56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medium">
        <color rgb="FF173B56"/>
      </top>
      <bottom style="medium">
        <color rgb="FF173B56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medium">
        <color rgb="FF173B56"/>
      </right>
      <top style="medium">
        <color rgb="FF173B56"/>
      </top>
      <bottom style="medium">
        <color rgb="FF173B56"/>
      </bottom>
      <diagonal/>
    </border>
    <border>
      <left style="thin">
        <color rgb="FF808080"/>
      </left>
      <right style="medium">
        <color rgb="FF173B56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6" fillId="6" borderId="2" xfId="0" applyFont="1" applyFill="1" applyBorder="1" applyAlignment="1">
      <alignment vertical="center" wrapText="1"/>
    </xf>
    <xf numFmtId="0" fontId="6" fillId="6" borderId="4" xfId="0" applyFont="1" applyFill="1" applyBorder="1" applyAlignment="1">
      <alignment vertical="center" wrapText="1"/>
    </xf>
    <xf numFmtId="0" fontId="6" fillId="6" borderId="6" xfId="0" applyFont="1" applyFill="1" applyBorder="1" applyAlignment="1">
      <alignment vertical="center" wrapText="1"/>
    </xf>
    <xf numFmtId="0" fontId="3" fillId="3" borderId="0" xfId="0" applyFont="1" applyFill="1"/>
    <xf numFmtId="0" fontId="4" fillId="0" borderId="0" xfId="0" applyFont="1"/>
    <xf numFmtId="164" fontId="0" fillId="4" borderId="0" xfId="0" applyNumberFormat="1" applyFill="1"/>
    <xf numFmtId="164" fontId="0" fillId="5" borderId="0" xfId="0" applyNumberFormat="1" applyFill="1"/>
    <xf numFmtId="0" fontId="0" fillId="5" borderId="0" xfId="0" applyFill="1"/>
    <xf numFmtId="0" fontId="0" fillId="0" borderId="0" xfId="0" applyAlignment="1">
      <alignment wrapText="1"/>
    </xf>
    <xf numFmtId="0" fontId="2" fillId="0" borderId="0" xfId="0" applyFont="1"/>
    <xf numFmtId="0" fontId="0" fillId="0" borderId="0" xfId="0"/>
    <xf numFmtId="0" fontId="1" fillId="0" borderId="0" xfId="0" applyFont="1" applyAlignment="1">
      <alignment vertical="center"/>
    </xf>
  </cellXfs>
  <cellStyles count="1">
    <cellStyle name="Standard" xfId="0" builtinId="0"/>
  </cellStyles>
  <dxfs count="1116">
    <dxf>
      <fill>
        <patternFill patternType="solid">
          <fgColor rgb="FFDCE8C4"/>
        </patternFill>
      </fill>
    </dxf>
    <dxf>
      <fill>
        <patternFill patternType="solid">
          <fgColor rgb="FFDCE8C4"/>
        </patternFill>
      </fill>
    </dxf>
    <dxf>
      <fill>
        <patternFill patternType="solid">
          <fgColor rgb="FFDCE8C4"/>
        </patternFill>
      </fill>
    </dxf>
    <dxf>
      <fill>
        <patternFill patternType="solid">
          <fgColor rgb="FFDCE8C4"/>
        </patternFill>
      </fill>
    </dxf>
    <dxf>
      <fill>
        <patternFill patternType="solid">
          <fgColor rgb="FFDCE8C4"/>
        </patternFill>
      </fill>
    </dxf>
    <dxf>
      <fill>
        <patternFill patternType="solid">
          <fgColor rgb="FFDCE8C4"/>
        </patternFill>
      </fill>
    </dxf>
    <dxf>
      <fill>
        <patternFill patternType="solid">
          <fgColor rgb="FFDCE8C4"/>
        </patternFill>
      </fill>
    </dxf>
    <dxf>
      <fill>
        <patternFill patternType="solid">
          <fgColor rgb="FFDCE8C4"/>
        </patternFill>
      </fill>
    </dxf>
    <dxf>
      <fill>
        <patternFill patternType="solid">
          <fgColor rgb="FFDCE8C4"/>
        </patternFill>
      </fill>
    </dxf>
    <dxf>
      <fill>
        <patternFill patternType="solid">
          <fgColor rgb="FFDCE8C4"/>
        </patternFill>
      </fill>
    </dxf>
    <dxf>
      <fill>
        <patternFill patternType="solid">
          <fgColor rgb="FFDCE8C4"/>
        </patternFill>
      </fill>
    </dxf>
    <dxf>
      <fill>
        <patternFill patternType="solid">
          <fgColor rgb="FFDCE8C4"/>
        </patternFill>
      </fill>
    </dxf>
    <dxf>
      <fill>
        <patternFill patternType="solid">
          <fgColor rgb="FFDCE8C4"/>
        </patternFill>
      </fill>
    </dxf>
    <dxf>
      <fill>
        <patternFill patternType="solid">
          <fgColor rgb="FFDCE8C4"/>
        </patternFill>
      </fill>
    </dxf>
    <dxf>
      <fill>
        <patternFill patternType="solid">
          <fgColor rgb="FFDCE8C4"/>
        </patternFill>
      </fill>
    </dxf>
    <dxf>
      <fill>
        <patternFill patternType="solid">
          <fgColor rgb="FFDCE8C4"/>
        </patternFill>
      </fill>
    </dxf>
    <dxf>
      <fill>
        <patternFill patternType="solid">
          <fgColor rgb="FFDCE8C4"/>
        </patternFill>
      </fill>
    </dxf>
    <dxf>
      <fill>
        <patternFill patternType="solid">
          <fgColor rgb="FFDCE8C4"/>
        </patternFill>
      </fill>
    </dxf>
    <dxf>
      <fill>
        <patternFill patternType="solid">
          <fgColor rgb="FFDCE8C4"/>
        </patternFill>
      </fill>
    </dxf>
    <dxf>
      <fill>
        <patternFill patternType="solid">
          <fgColor rgb="FFDCE8C4"/>
        </patternFill>
      </fill>
    </dxf>
    <dxf>
      <fill>
        <patternFill patternType="solid">
          <fgColor rgb="FFDCE8C4"/>
        </patternFill>
      </fill>
    </dxf>
    <dxf>
      <fill>
        <patternFill patternType="solid">
          <fgColor rgb="FFDCE8C4"/>
        </patternFill>
      </fill>
    </dxf>
    <dxf>
      <fill>
        <patternFill patternType="solid">
          <fgColor rgb="FFDCE8C4"/>
        </patternFill>
      </fill>
    </dxf>
    <dxf>
      <fill>
        <patternFill patternType="solid">
          <fgColor rgb="FFDCE8C4"/>
        </patternFill>
      </fill>
    </dxf>
    <dxf>
      <fill>
        <patternFill patternType="solid">
          <fgColor rgb="FFDCE8C4"/>
        </patternFill>
      </fill>
    </dxf>
    <dxf>
      <fill>
        <patternFill patternType="solid">
          <fgColor rgb="FFDCE8C4"/>
        </patternFill>
      </fill>
    </dxf>
    <dxf>
      <fill>
        <patternFill patternType="solid">
          <fgColor rgb="FFDCE8C4"/>
        </patternFill>
      </fill>
    </dxf>
    <dxf>
      <fill>
        <patternFill patternType="solid">
          <fgColor rgb="FFDCE8C4"/>
        </patternFill>
      </fill>
    </dxf>
    <dxf>
      <fill>
        <patternFill patternType="solid">
          <fgColor rgb="FFDCE8C4"/>
        </patternFill>
      </fill>
    </dxf>
    <dxf>
      <fill>
        <patternFill patternType="solid">
          <fgColor rgb="FFDCE8C4"/>
        </patternFill>
      </fill>
    </dxf>
    <dxf>
      <fill>
        <patternFill patternType="solid">
          <fgColor rgb="FFDCE8C4"/>
        </patternFill>
      </fill>
    </dxf>
    <dxf>
      <fill>
        <patternFill patternType="solid">
          <fgColor rgb="FFDCE8C4"/>
        </patternFill>
      </fill>
    </dxf>
    <dxf>
      <fill>
        <patternFill patternType="solid">
          <fgColor rgb="FFDCE8C4"/>
        </patternFill>
      </fill>
    </dxf>
    <dxf>
      <fill>
        <patternFill patternType="solid">
          <fgColor rgb="FFDCE8C4"/>
        </patternFill>
      </fill>
    </dxf>
    <dxf>
      <fill>
        <patternFill patternType="solid">
          <fgColor rgb="FFDCE8C4"/>
        </patternFill>
      </fill>
    </dxf>
    <dxf>
      <fill>
        <patternFill patternType="solid">
          <fgColor rgb="FFDCE8C4"/>
        </patternFill>
      </fill>
    </dxf>
    <dxf>
      <fill>
        <patternFill patternType="solid">
          <fgColor rgb="FFDCE8C4"/>
        </patternFill>
      </fill>
    </dxf>
    <dxf>
      <fill>
        <patternFill patternType="solid">
          <fgColor rgb="FFDCE8C4"/>
        </patternFill>
      </fill>
    </dxf>
    <dxf>
      <fill>
        <patternFill patternType="solid">
          <fgColor rgb="FFDCE8C4"/>
        </patternFill>
      </fill>
    </dxf>
    <dxf>
      <fill>
        <patternFill patternType="solid">
          <fgColor rgb="FFDCE8C4"/>
        </patternFill>
      </fill>
    </dxf>
    <dxf>
      <fill>
        <patternFill patternType="solid">
          <fgColor rgb="FFDCE8C4"/>
        </patternFill>
      </fill>
    </dxf>
    <dxf>
      <fill>
        <patternFill patternType="solid">
          <fgColor rgb="FFDCE8C4"/>
        </patternFill>
      </fill>
    </dxf>
    <dxf>
      <fill>
        <patternFill patternType="solid">
          <fgColor rgb="FFDCE8C4"/>
        </patternFill>
      </fill>
    </dxf>
    <dxf>
      <fill>
        <patternFill patternType="solid">
          <fgColor rgb="FFDCE8C4"/>
        </patternFill>
      </fill>
    </dxf>
    <dxf>
      <fill>
        <patternFill patternType="solid">
          <fgColor rgb="FFDCE8C4"/>
        </patternFill>
      </fill>
    </dxf>
    <dxf>
      <fill>
        <patternFill patternType="solid">
          <fgColor rgb="FFDCE8C4"/>
        </patternFill>
      </fill>
    </dxf>
    <dxf>
      <fill>
        <patternFill patternType="solid">
          <fgColor rgb="FFDCE8C4"/>
        </patternFill>
      </fill>
    </dxf>
    <dxf>
      <fill>
        <patternFill patternType="solid">
          <fgColor rgb="FFDCE8C4"/>
        </patternFill>
      </fill>
    </dxf>
    <dxf>
      <fill>
        <patternFill patternType="solid">
          <fgColor rgb="FFDCE8C4"/>
        </patternFill>
      </fill>
    </dxf>
    <dxf>
      <fill>
        <patternFill patternType="solid">
          <fgColor rgb="FFDCE8C4"/>
        </patternFill>
      </fill>
    </dxf>
    <dxf>
      <fill>
        <patternFill patternType="solid">
          <fgColor rgb="FFDCE8C4"/>
        </patternFill>
      </fill>
    </dxf>
    <dxf>
      <fill>
        <patternFill patternType="solid">
          <fgColor rgb="FFDCE8C4"/>
        </patternFill>
      </fill>
    </dxf>
    <dxf>
      <fill>
        <patternFill patternType="solid">
          <fgColor rgb="FFDCE8C4"/>
        </patternFill>
      </fill>
    </dxf>
    <dxf>
      <fill>
        <patternFill patternType="solid">
          <fgColor rgb="FFDCE8C4"/>
        </patternFill>
      </fill>
    </dxf>
    <dxf>
      <fill>
        <patternFill patternType="solid">
          <fgColor rgb="FFDCE8C4"/>
        </patternFill>
      </fill>
    </dxf>
    <dxf>
      <fill>
        <patternFill patternType="solid">
          <fgColor rgb="FFDCE8C4"/>
        </patternFill>
      </fill>
    </dxf>
    <dxf>
      <fill>
        <patternFill patternType="solid">
          <fgColor rgb="FFDCE8C4"/>
        </patternFill>
      </fill>
    </dxf>
    <dxf>
      <fill>
        <patternFill patternType="solid">
          <fgColor rgb="FFDCE8C4"/>
        </patternFill>
      </fill>
    </dxf>
    <dxf>
      <fill>
        <patternFill patternType="solid">
          <fgColor rgb="FFDCE8C4"/>
        </patternFill>
      </fill>
    </dxf>
    <dxf>
      <fill>
        <patternFill patternType="solid">
          <fgColor rgb="FFDCE8C4"/>
        </patternFill>
      </fill>
    </dxf>
    <dxf>
      <fill>
        <patternFill patternType="solid">
          <fgColor rgb="FFDCE8C4"/>
        </patternFill>
      </fill>
    </dxf>
    <dxf>
      <fill>
        <patternFill patternType="solid">
          <fgColor rgb="FFDCE8C4"/>
        </patternFill>
      </fill>
    </dxf>
    <dxf>
      <fill>
        <patternFill patternType="solid">
          <fgColor rgb="FFDCE8C4"/>
        </patternFill>
      </fill>
    </dxf>
    <dxf>
      <fill>
        <patternFill patternType="solid">
          <fgColor rgb="FFDCE8C4"/>
        </patternFill>
      </fill>
    </dxf>
    <dxf>
      <fill>
        <patternFill patternType="solid">
          <fgColor rgb="FFDCE8C4"/>
        </patternFill>
      </fill>
    </dxf>
    <dxf>
      <fill>
        <patternFill patternType="solid">
          <fgColor rgb="FFDCE8C4"/>
        </patternFill>
      </fill>
    </dxf>
    <dxf>
      <fill>
        <patternFill patternType="solid">
          <fgColor rgb="FFDCE8C4"/>
        </patternFill>
      </fill>
    </dxf>
    <dxf>
      <fill>
        <patternFill patternType="solid">
          <fgColor rgb="FFDCE8C4"/>
        </patternFill>
      </fill>
    </dxf>
    <dxf>
      <fill>
        <patternFill patternType="solid">
          <fgColor rgb="FFDCE8C4"/>
        </patternFill>
      </fill>
    </dxf>
    <dxf>
      <fill>
        <patternFill patternType="solid">
          <fgColor rgb="FFDCE8C4"/>
        </patternFill>
      </fill>
    </dxf>
    <dxf>
      <fill>
        <patternFill patternType="solid">
          <fgColor rgb="FFDCE8C4"/>
        </patternFill>
      </fill>
    </dxf>
    <dxf>
      <fill>
        <patternFill patternType="solid">
          <fgColor rgb="FFDCE8C4"/>
        </patternFill>
      </fill>
    </dxf>
    <dxf>
      <fill>
        <patternFill patternType="solid">
          <fgColor rgb="FFDCE8C4"/>
        </patternFill>
      </fill>
    </dxf>
    <dxf>
      <fill>
        <patternFill patternType="solid">
          <fgColor rgb="FFDCE8C4"/>
        </patternFill>
      </fill>
    </dxf>
    <dxf>
      <fill>
        <patternFill patternType="solid">
          <fgColor rgb="FFDCE8C4"/>
        </patternFill>
      </fill>
    </dxf>
    <dxf>
      <fill>
        <patternFill patternType="solid">
          <fgColor rgb="FFDCE8C4"/>
        </patternFill>
      </fill>
    </dxf>
    <dxf>
      <fill>
        <patternFill patternType="solid">
          <fgColor rgb="FFDCE8C4"/>
        </patternFill>
      </fill>
    </dxf>
    <dxf>
      <fill>
        <patternFill patternType="solid">
          <fgColor rgb="FFDCE8C4"/>
        </patternFill>
      </fill>
    </dxf>
    <dxf>
      <fill>
        <patternFill patternType="solid">
          <fgColor rgb="FFDCE8C4"/>
        </patternFill>
      </fill>
    </dxf>
    <dxf>
      <fill>
        <patternFill patternType="solid">
          <fgColor rgb="FFDCE8C4"/>
        </patternFill>
      </fill>
    </dxf>
    <dxf>
      <fill>
        <patternFill patternType="solid">
          <fgColor rgb="FFDCE8C4"/>
        </patternFill>
      </fill>
    </dxf>
    <dxf>
      <fill>
        <patternFill patternType="solid">
          <fgColor rgb="FFDCE8C4"/>
        </patternFill>
      </fill>
    </dxf>
    <dxf>
      <fill>
        <patternFill patternType="solid">
          <fgColor rgb="FFDCE8C4"/>
        </patternFill>
      </fill>
    </dxf>
    <dxf>
      <fill>
        <patternFill patternType="solid">
          <fgColor rgb="FFDCE8C4"/>
        </patternFill>
      </fill>
    </dxf>
    <dxf>
      <fill>
        <patternFill patternType="solid">
          <fgColor rgb="FFDCE8C4"/>
        </patternFill>
      </fill>
    </dxf>
    <dxf>
      <fill>
        <patternFill patternType="solid">
          <fgColor rgb="FFDCE8C4"/>
        </patternFill>
      </fill>
    </dxf>
    <dxf>
      <fill>
        <patternFill patternType="solid">
          <fgColor rgb="FFDCE8C4"/>
        </patternFill>
      </fill>
    </dxf>
    <dxf>
      <fill>
        <patternFill patternType="solid">
          <fgColor rgb="FFDCE8C4"/>
        </patternFill>
      </fill>
    </dxf>
    <dxf>
      <fill>
        <patternFill patternType="solid">
          <fgColor rgb="FFDCE8C4"/>
        </patternFill>
      </fill>
    </dxf>
    <dxf>
      <fill>
        <patternFill patternType="solid">
          <fgColor rgb="FFDCE8C4"/>
        </patternFill>
      </fill>
    </dxf>
    <dxf>
      <fill>
        <patternFill patternType="solid">
          <fgColor rgb="FFDCE8C4"/>
        </patternFill>
      </fill>
    </dxf>
    <dxf>
      <fill>
        <patternFill patternType="solid">
          <fgColor rgb="FFDCE8C4"/>
        </patternFill>
      </fill>
    </dxf>
    <dxf>
      <fill>
        <patternFill patternType="solid">
          <fgColor rgb="FFDCE8C4"/>
        </patternFill>
      </fill>
    </dxf>
    <dxf>
      <fill>
        <patternFill patternType="solid">
          <fgColor rgb="FFDCE8C4"/>
        </patternFill>
      </fill>
    </dxf>
    <dxf>
      <fill>
        <patternFill patternType="solid">
          <fgColor rgb="FFDCE8C4"/>
        </patternFill>
      </fill>
    </dxf>
    <dxf>
      <fill>
        <patternFill patternType="solid">
          <fgColor rgb="FFDCE8C4"/>
        </patternFill>
      </fill>
    </dxf>
    <dxf>
      <fill>
        <patternFill patternType="solid">
          <fgColor rgb="FFDCE8C4"/>
        </patternFill>
      </fill>
    </dxf>
    <dxf>
      <fill>
        <patternFill patternType="solid">
          <fgColor rgb="FFDCE8C4"/>
        </patternFill>
      </fill>
    </dxf>
    <dxf>
      <fill>
        <patternFill patternType="solid">
          <fgColor rgb="FFDCE8C4"/>
        </patternFill>
      </fill>
    </dxf>
    <dxf>
      <fill>
        <patternFill patternType="solid">
          <fgColor rgb="FFDCE8C4"/>
        </patternFill>
      </fill>
    </dxf>
    <dxf>
      <fill>
        <patternFill patternType="solid">
          <fgColor rgb="FFDCE8C4"/>
        </patternFill>
      </fill>
    </dxf>
    <dxf>
      <fill>
        <patternFill patternType="solid">
          <fgColor rgb="FFDCE8C4"/>
        </patternFill>
      </fill>
    </dxf>
    <dxf>
      <fill>
        <patternFill patternType="solid">
          <fgColor rgb="FFDCE8C4"/>
        </patternFill>
      </fill>
    </dxf>
    <dxf>
      <fill>
        <patternFill patternType="solid">
          <fgColor rgb="FFDCE8C4"/>
        </patternFill>
      </fill>
    </dxf>
    <dxf>
      <fill>
        <patternFill patternType="solid">
          <fgColor rgb="FFDCE8C4"/>
        </patternFill>
      </fill>
    </dxf>
    <dxf>
      <fill>
        <patternFill patternType="solid">
          <fgColor rgb="FFDCE8C4"/>
        </patternFill>
      </fill>
    </dxf>
    <dxf>
      <fill>
        <patternFill patternType="solid">
          <fgColor rgb="FFDCE8C4"/>
        </patternFill>
      </fill>
    </dxf>
    <dxf>
      <fill>
        <patternFill patternType="solid">
          <fgColor rgb="FFDCE8C4"/>
        </patternFill>
      </fill>
    </dxf>
    <dxf>
      <fill>
        <patternFill patternType="solid">
          <fgColor rgb="FFDCE8C4"/>
        </patternFill>
      </fill>
    </dxf>
    <dxf>
      <fill>
        <patternFill patternType="solid">
          <fgColor rgb="FFDCE8C4"/>
        </patternFill>
      </fill>
    </dxf>
    <dxf>
      <fill>
        <patternFill patternType="solid">
          <fgColor rgb="FFDCE8C4"/>
        </patternFill>
      </fill>
    </dxf>
    <dxf>
      <fill>
        <patternFill patternType="solid">
          <fgColor rgb="FFDCE8C4"/>
        </patternFill>
      </fill>
    </dxf>
    <dxf>
      <fill>
        <patternFill patternType="solid">
          <fgColor rgb="FFDCE8C4"/>
        </patternFill>
      </fill>
    </dxf>
    <dxf>
      <fill>
        <patternFill patternType="solid">
          <fgColor rgb="FFDCE8C4"/>
        </patternFill>
      </fill>
    </dxf>
    <dxf>
      <fill>
        <patternFill patternType="solid">
          <fgColor rgb="FFDCE8C4"/>
        </patternFill>
      </fill>
    </dxf>
    <dxf>
      <fill>
        <patternFill patternType="solid">
          <fgColor rgb="FFDCE8C4"/>
        </patternFill>
      </fill>
    </dxf>
    <dxf>
      <fill>
        <patternFill patternType="solid">
          <fgColor rgb="FFDCE8C4"/>
        </patternFill>
      </fill>
    </dxf>
    <dxf>
      <fill>
        <patternFill patternType="solid">
          <fgColor rgb="FFDCE8C4"/>
        </patternFill>
      </fill>
    </dxf>
    <dxf>
      <fill>
        <patternFill patternType="solid">
          <fgColor rgb="FFDCE8C4"/>
        </patternFill>
      </fill>
    </dxf>
    <dxf>
      <fill>
        <patternFill patternType="solid">
          <fgColor rgb="FFDCE8C4"/>
        </patternFill>
      </fill>
    </dxf>
    <dxf>
      <fill>
        <patternFill patternType="solid">
          <fgColor rgb="FFDCE8C4"/>
        </patternFill>
      </fill>
    </dxf>
    <dxf>
      <fill>
        <patternFill patternType="solid">
          <fgColor rgb="FFDCE8C4"/>
        </patternFill>
      </fill>
    </dxf>
    <dxf>
      <fill>
        <patternFill patternType="solid">
          <fgColor rgb="FFDCE8C4"/>
        </patternFill>
      </fill>
    </dxf>
    <dxf>
      <fill>
        <patternFill patternType="solid">
          <fgColor rgb="FFDCE8C4"/>
        </patternFill>
      </fill>
    </dxf>
    <dxf>
      <fill>
        <patternFill patternType="solid">
          <fgColor rgb="FFDCE8C4"/>
        </patternFill>
      </fill>
    </dxf>
    <dxf>
      <fill>
        <patternFill patternType="solid">
          <fgColor rgb="FFDCE8C4"/>
        </patternFill>
      </fill>
    </dxf>
    <dxf>
      <fill>
        <patternFill patternType="solid">
          <fgColor rgb="FFDCE8C4"/>
        </patternFill>
      </fill>
    </dxf>
    <dxf>
      <fill>
        <patternFill patternType="solid">
          <fgColor rgb="FFDCE8C4"/>
        </patternFill>
      </fill>
    </dxf>
    <dxf>
      <fill>
        <patternFill patternType="solid">
          <fgColor rgb="FFDCE8C4"/>
        </patternFill>
      </fill>
    </dxf>
    <dxf>
      <fill>
        <patternFill patternType="solid">
          <fgColor rgb="FFDCE8C4"/>
        </patternFill>
      </fill>
    </dxf>
    <dxf>
      <fill>
        <patternFill patternType="solid">
          <fgColor rgb="FFDCE8C4"/>
        </patternFill>
      </fill>
    </dxf>
    <dxf>
      <fill>
        <patternFill patternType="solid">
          <fgColor rgb="FFDCE8C4"/>
        </patternFill>
      </fill>
    </dxf>
    <dxf>
      <fill>
        <patternFill patternType="solid">
          <fgColor rgb="FFDCE8C4"/>
        </patternFill>
      </fill>
    </dxf>
    <dxf>
      <fill>
        <patternFill patternType="solid">
          <fgColor rgb="FFDCE8C4"/>
        </patternFill>
      </fill>
    </dxf>
    <dxf>
      <fill>
        <patternFill patternType="solid">
          <fgColor rgb="FFDCE8C4"/>
        </patternFill>
      </fill>
    </dxf>
    <dxf>
      <fill>
        <patternFill patternType="solid">
          <fgColor rgb="FFDCE8C4"/>
        </patternFill>
      </fill>
    </dxf>
    <dxf>
      <fill>
        <patternFill patternType="solid">
          <fgColor rgb="FFDCE8C4"/>
        </patternFill>
      </fill>
    </dxf>
    <dxf>
      <fill>
        <patternFill patternType="solid">
          <fgColor rgb="FFDCE8C4"/>
        </patternFill>
      </fill>
    </dxf>
    <dxf>
      <fill>
        <patternFill patternType="solid">
          <fgColor rgb="FFDCE8C4"/>
        </patternFill>
      </fill>
    </dxf>
    <dxf>
      <fill>
        <patternFill patternType="solid">
          <fgColor rgb="FFDCE8C4"/>
        </patternFill>
      </fill>
    </dxf>
    <dxf>
      <fill>
        <patternFill patternType="solid">
          <fgColor rgb="FFDCE8C4"/>
        </patternFill>
      </fill>
    </dxf>
    <dxf>
      <fill>
        <patternFill patternType="solid">
          <fgColor rgb="FFDCE8C4"/>
        </patternFill>
      </fill>
    </dxf>
    <dxf>
      <fill>
        <patternFill patternType="solid">
          <fgColor rgb="FFDCE8C4"/>
        </patternFill>
      </fill>
    </dxf>
    <dxf>
      <fill>
        <patternFill patternType="solid">
          <fgColor rgb="FFDCE8C4"/>
        </patternFill>
      </fill>
    </dxf>
    <dxf>
      <fill>
        <patternFill patternType="solid">
          <fgColor rgb="FFDCE8C4"/>
        </patternFill>
      </fill>
    </dxf>
    <dxf>
      <fill>
        <patternFill patternType="solid">
          <fgColor rgb="FFDCE8C4"/>
        </patternFill>
      </fill>
    </dxf>
    <dxf>
      <fill>
        <patternFill patternType="solid">
          <fgColor rgb="FFDCE8C4"/>
        </patternFill>
      </fill>
    </dxf>
    <dxf>
      <fill>
        <patternFill patternType="solid">
          <fgColor rgb="FFDCE8C4"/>
        </patternFill>
      </fill>
    </dxf>
    <dxf>
      <fill>
        <patternFill patternType="solid">
          <fgColor rgb="FFDCE8C4"/>
        </patternFill>
      </fill>
    </dxf>
    <dxf>
      <fill>
        <patternFill patternType="solid">
          <fgColor rgb="FFDCE8C4"/>
        </patternFill>
      </fill>
    </dxf>
    <dxf>
      <fill>
        <patternFill patternType="solid">
          <fgColor rgb="FFDCE8C4"/>
        </patternFill>
      </fill>
    </dxf>
    <dxf>
      <fill>
        <patternFill patternType="solid">
          <fgColor rgb="FFDCE8C4"/>
        </patternFill>
      </fill>
    </dxf>
    <dxf>
      <fill>
        <patternFill patternType="solid">
          <fgColor rgb="FFDCE8C4"/>
        </patternFill>
      </fill>
    </dxf>
    <dxf>
      <fill>
        <patternFill patternType="solid">
          <fgColor rgb="FFDCE8C4"/>
        </patternFill>
      </fill>
    </dxf>
    <dxf>
      <fill>
        <patternFill patternType="solid">
          <fgColor rgb="FFDCE8C4"/>
        </patternFill>
      </fill>
    </dxf>
    <dxf>
      <fill>
        <patternFill patternType="solid">
          <fgColor rgb="FFDCE8C4"/>
        </patternFill>
      </fill>
    </dxf>
    <dxf>
      <fill>
        <patternFill patternType="solid">
          <fgColor rgb="FFDCE8C4"/>
        </patternFill>
      </fill>
    </dxf>
    <dxf>
      <fill>
        <patternFill patternType="solid">
          <fgColor rgb="FFDCE8C4"/>
        </patternFill>
      </fill>
    </dxf>
    <dxf>
      <fill>
        <patternFill patternType="solid">
          <fgColor rgb="FFDCE8C4"/>
        </patternFill>
      </fill>
    </dxf>
    <dxf>
      <fill>
        <patternFill patternType="solid">
          <fgColor rgb="FFDCE8C4"/>
        </patternFill>
      </fill>
    </dxf>
    <dxf>
      <fill>
        <patternFill patternType="solid">
          <fgColor rgb="FFDCE8C4"/>
        </patternFill>
      </fill>
    </dxf>
    <dxf>
      <fill>
        <patternFill patternType="solid">
          <fgColor rgb="FFDCE8C4"/>
        </patternFill>
      </fill>
    </dxf>
    <dxf>
      <fill>
        <patternFill patternType="solid">
          <fgColor rgb="FFDCE8C4"/>
        </patternFill>
      </fill>
    </dxf>
    <dxf>
      <fill>
        <patternFill patternType="solid">
          <fgColor rgb="FFDCE8C4"/>
        </patternFill>
      </fill>
    </dxf>
    <dxf>
      <fill>
        <patternFill patternType="solid">
          <fgColor rgb="FFDCE8C4"/>
        </patternFill>
      </fill>
    </dxf>
    <dxf>
      <fill>
        <patternFill patternType="solid">
          <fgColor rgb="FFDCE8C4"/>
        </patternFill>
      </fill>
    </dxf>
    <dxf>
      <fill>
        <patternFill patternType="solid">
          <fgColor rgb="FFDCE8C4"/>
        </patternFill>
      </fill>
    </dxf>
    <dxf>
      <fill>
        <patternFill patternType="solid">
          <fgColor rgb="FFDCE8C4"/>
        </patternFill>
      </fill>
    </dxf>
    <dxf>
      <fill>
        <patternFill patternType="solid">
          <fgColor rgb="FFDCE8C4"/>
        </patternFill>
      </fill>
    </dxf>
    <dxf>
      <fill>
        <patternFill patternType="solid">
          <fgColor rgb="FFDCE8C4"/>
        </patternFill>
      </fill>
    </dxf>
    <dxf>
      <fill>
        <patternFill patternType="solid">
          <fgColor rgb="FFDCE8C4"/>
        </patternFill>
      </fill>
    </dxf>
    <dxf>
      <fill>
        <patternFill patternType="solid">
          <fgColor rgb="FFDCE8C4"/>
        </patternFill>
      </fill>
    </dxf>
    <dxf>
      <fill>
        <patternFill patternType="solid">
          <fgColor rgb="FFDCE8C4"/>
        </patternFill>
      </fill>
    </dxf>
    <dxf>
      <fill>
        <patternFill patternType="solid">
          <fgColor rgb="FFDCE8C4"/>
        </patternFill>
      </fill>
    </dxf>
    <dxf>
      <fill>
        <patternFill patternType="solid">
          <fgColor rgb="FFDCE8C4"/>
        </patternFill>
      </fill>
    </dxf>
    <dxf>
      <fill>
        <patternFill patternType="solid">
          <fgColor rgb="FFDCE8C4"/>
        </patternFill>
      </fill>
    </dxf>
    <dxf>
      <fill>
        <patternFill patternType="solid">
          <fgColor rgb="FFDCE8C4"/>
        </patternFill>
      </fill>
    </dxf>
    <dxf>
      <fill>
        <patternFill patternType="solid">
          <fgColor rgb="FFDCE8C4"/>
        </patternFill>
      </fill>
    </dxf>
    <dxf>
      <fill>
        <patternFill patternType="solid">
          <fgColor rgb="FFDCE8C4"/>
        </patternFill>
      </fill>
    </dxf>
    <dxf>
      <fill>
        <patternFill patternType="solid">
          <fgColor rgb="FFDCE8C4"/>
        </patternFill>
      </fill>
    </dxf>
    <dxf>
      <fill>
        <patternFill patternType="solid">
          <fgColor rgb="FFDCE8C4"/>
        </patternFill>
      </fill>
    </dxf>
    <dxf>
      <fill>
        <patternFill patternType="solid">
          <fgColor rgb="FFDCE8C4"/>
        </patternFill>
      </fill>
    </dxf>
    <dxf>
      <fill>
        <patternFill patternType="solid">
          <fgColor rgb="FFDCE8C4"/>
        </patternFill>
      </fill>
    </dxf>
    <dxf>
      <fill>
        <patternFill patternType="solid">
          <fgColor rgb="FFDCE8C4"/>
        </patternFill>
      </fill>
    </dxf>
    <dxf>
      <fill>
        <patternFill patternType="solid">
          <fgColor rgb="FFDCE8C4"/>
        </patternFill>
      </fill>
    </dxf>
    <dxf>
      <fill>
        <patternFill patternType="solid">
          <fgColor rgb="FFDCE8C4"/>
        </patternFill>
      </fill>
    </dxf>
    <dxf>
      <fill>
        <patternFill patternType="solid">
          <fgColor rgb="FFDCE8C4"/>
        </patternFill>
      </fill>
    </dxf>
    <dxf>
      <fill>
        <patternFill patternType="solid">
          <fgColor rgb="FFDCE8C4"/>
        </patternFill>
      </fill>
    </dxf>
    <dxf>
      <fill>
        <patternFill patternType="solid">
          <fgColor rgb="FFDCE8C4"/>
        </patternFill>
      </fill>
    </dxf>
    <dxf>
      <fill>
        <patternFill patternType="solid">
          <fgColor rgb="FFDCE8C4"/>
        </patternFill>
      </fill>
    </dxf>
    <dxf>
      <fill>
        <patternFill patternType="solid">
          <fgColor rgb="FFDCE8C4"/>
        </patternFill>
      </fill>
    </dxf>
    <dxf>
      <fill>
        <patternFill patternType="solid">
          <fgColor rgb="FFDCE8C4"/>
        </patternFill>
      </fill>
    </dxf>
    <dxf>
      <fill>
        <patternFill patternType="solid">
          <fgColor rgb="FFDCE8C4"/>
        </patternFill>
      </fill>
    </dxf>
    <dxf>
      <fill>
        <patternFill patternType="solid">
          <fgColor rgb="FFDCE8C4"/>
        </patternFill>
      </fill>
    </dxf>
    <dxf>
      <fill>
        <patternFill patternType="solid">
          <fgColor rgb="FFDCE8C4"/>
        </patternFill>
      </fill>
    </dxf>
    <dxf>
      <fill>
        <patternFill patternType="solid">
          <fgColor rgb="FFDCE8C4"/>
        </patternFill>
      </fill>
    </dxf>
    <dxf>
      <fill>
        <patternFill patternType="solid">
          <fgColor rgb="FFDCE8C4"/>
        </patternFill>
      </fill>
    </dxf>
    <dxf>
      <fill>
        <patternFill patternType="solid">
          <fgColor rgb="FFDCE8C4"/>
        </patternFill>
      </fill>
    </dxf>
    <dxf>
      <fill>
        <patternFill patternType="solid">
          <fgColor rgb="FFDCE8C4"/>
        </patternFill>
      </fill>
    </dxf>
    <dxf>
      <fill>
        <patternFill patternType="solid">
          <fgColor rgb="FFDCE8C4"/>
        </patternFill>
      </fill>
    </dxf>
    <dxf>
      <fill>
        <patternFill patternType="solid">
          <fgColor rgb="FFDCE8C4"/>
        </patternFill>
      </fill>
    </dxf>
    <dxf>
      <fill>
        <patternFill patternType="solid">
          <fgColor rgb="FFDCE8C4"/>
        </patternFill>
      </fill>
    </dxf>
    <dxf>
      <fill>
        <patternFill patternType="solid">
          <fgColor rgb="FFDCE8C4"/>
        </patternFill>
      </fill>
    </dxf>
    <dxf>
      <fill>
        <patternFill patternType="solid">
          <fgColor rgb="FFDCE8C4"/>
        </patternFill>
      </fill>
    </dxf>
    <dxf>
      <fill>
        <patternFill patternType="solid">
          <fgColor rgb="FFDCE8C4"/>
        </patternFill>
      </fill>
    </dxf>
    <dxf>
      <fill>
        <patternFill patternType="solid">
          <fgColor rgb="FFDCE8C4"/>
        </patternFill>
      </fill>
    </dxf>
    <dxf>
      <fill>
        <patternFill patternType="solid">
          <fgColor rgb="FFDCE8C4"/>
        </patternFill>
      </fill>
    </dxf>
    <dxf>
      <fill>
        <patternFill patternType="solid">
          <fgColor rgb="FFDCE8C4"/>
        </patternFill>
      </fill>
    </dxf>
    <dxf>
      <fill>
        <patternFill patternType="solid">
          <fgColor rgb="FFDCE8C4"/>
        </patternFill>
      </fill>
    </dxf>
    <dxf>
      <fill>
        <patternFill patternType="solid">
          <fgColor rgb="FFDCE8C4"/>
        </patternFill>
      </fill>
    </dxf>
    <dxf>
      <fill>
        <patternFill patternType="solid">
          <fgColor rgb="FFDCE8C4"/>
        </patternFill>
      </fill>
    </dxf>
    <dxf>
      <fill>
        <patternFill patternType="solid">
          <fgColor rgb="FFDCE8C4"/>
        </patternFill>
      </fill>
    </dxf>
    <dxf>
      <fill>
        <patternFill patternType="solid">
          <fgColor rgb="FFDCE8C4"/>
        </patternFill>
      </fill>
    </dxf>
    <dxf>
      <fill>
        <patternFill patternType="solid">
          <fgColor rgb="FFDCE8C4"/>
        </patternFill>
      </fill>
    </dxf>
    <dxf>
      <fill>
        <patternFill patternType="solid">
          <fgColor rgb="FFDCE8C4"/>
        </patternFill>
      </fill>
    </dxf>
    <dxf>
      <fill>
        <patternFill patternType="solid">
          <fgColor rgb="FFDCE8C4"/>
        </patternFill>
      </fill>
    </dxf>
    <dxf>
      <fill>
        <patternFill patternType="solid">
          <fgColor rgb="FFDCE8C4"/>
        </patternFill>
      </fill>
    </dxf>
    <dxf>
      <fill>
        <patternFill patternType="solid">
          <fgColor rgb="FFDCE8C4"/>
        </patternFill>
      </fill>
    </dxf>
    <dxf>
      <fill>
        <patternFill patternType="solid">
          <fgColor rgb="FFDCE8C4"/>
        </patternFill>
      </fill>
    </dxf>
    <dxf>
      <fill>
        <patternFill patternType="solid">
          <fgColor rgb="FFDCE8C4"/>
        </patternFill>
      </fill>
    </dxf>
    <dxf>
      <fill>
        <patternFill patternType="solid">
          <fgColor rgb="FFDCE8C4"/>
        </patternFill>
      </fill>
    </dxf>
    <dxf>
      <fill>
        <patternFill patternType="solid">
          <fgColor rgb="FFDCE8C4"/>
        </patternFill>
      </fill>
    </dxf>
    <dxf>
      <fill>
        <patternFill patternType="solid">
          <fgColor rgb="FFDCE8C4"/>
        </patternFill>
      </fill>
    </dxf>
    <dxf>
      <fill>
        <patternFill patternType="solid">
          <fgColor rgb="FFDCE8C4"/>
        </patternFill>
      </fill>
    </dxf>
    <dxf>
      <fill>
        <patternFill patternType="solid">
          <fgColor rgb="FFDCE8C4"/>
        </patternFill>
      </fill>
    </dxf>
    <dxf>
      <fill>
        <patternFill patternType="solid">
          <fgColor rgb="FFDCE8C4"/>
        </patternFill>
      </fill>
    </dxf>
    <dxf>
      <fill>
        <patternFill patternType="solid">
          <fgColor rgb="FFDCE8C4"/>
        </patternFill>
      </fill>
    </dxf>
    <dxf>
      <fill>
        <patternFill patternType="solid">
          <fgColor rgb="FFDCE8C4"/>
        </patternFill>
      </fill>
    </dxf>
    <dxf>
      <fill>
        <patternFill patternType="solid">
          <fgColor rgb="FFDCE8C4"/>
        </patternFill>
      </fill>
    </dxf>
    <dxf>
      <fill>
        <patternFill patternType="solid">
          <fgColor rgb="FFDCE8C4"/>
        </patternFill>
      </fill>
    </dxf>
    <dxf>
      <fill>
        <patternFill patternType="solid">
          <fgColor rgb="FFDCE8C4"/>
        </patternFill>
      </fill>
    </dxf>
    <dxf>
      <fill>
        <patternFill patternType="solid">
          <fgColor rgb="FFDCE8C4"/>
        </patternFill>
      </fill>
    </dxf>
    <dxf>
      <fill>
        <patternFill patternType="solid">
          <fgColor rgb="FFDCE8C4"/>
        </patternFill>
      </fill>
    </dxf>
    <dxf>
      <fill>
        <patternFill patternType="solid">
          <fgColor rgb="FFDCE8C4"/>
        </patternFill>
      </fill>
    </dxf>
    <dxf>
      <fill>
        <patternFill patternType="solid">
          <fgColor rgb="FFDCE8C4"/>
        </patternFill>
      </fill>
    </dxf>
    <dxf>
      <fill>
        <patternFill patternType="solid">
          <fgColor rgb="FFDCE8C4"/>
        </patternFill>
      </fill>
    </dxf>
    <dxf>
      <fill>
        <patternFill patternType="solid">
          <fgColor rgb="FFDCE8C4"/>
        </patternFill>
      </fill>
    </dxf>
    <dxf>
      <fill>
        <patternFill patternType="solid">
          <fgColor rgb="FFDCE8C4"/>
        </patternFill>
      </fill>
    </dxf>
    <dxf>
      <fill>
        <patternFill patternType="solid">
          <fgColor rgb="FFDCE8C4"/>
        </patternFill>
      </fill>
    </dxf>
    <dxf>
      <fill>
        <patternFill patternType="solid">
          <fgColor rgb="FFDCE8C4"/>
        </patternFill>
      </fill>
    </dxf>
    <dxf>
      <fill>
        <patternFill patternType="solid">
          <fgColor rgb="FFDCE8C4"/>
        </patternFill>
      </fill>
    </dxf>
    <dxf>
      <fill>
        <patternFill patternType="solid">
          <fgColor rgb="FFDCE8C4"/>
        </patternFill>
      </fill>
    </dxf>
    <dxf>
      <fill>
        <patternFill patternType="solid">
          <fgColor rgb="FFDCE8C4"/>
        </patternFill>
      </fill>
    </dxf>
    <dxf>
      <fill>
        <patternFill patternType="solid">
          <fgColor rgb="FFDCE8C4"/>
        </patternFill>
      </fill>
    </dxf>
    <dxf>
      <fill>
        <patternFill patternType="solid">
          <fgColor rgb="FFDCE8C4"/>
        </patternFill>
      </fill>
    </dxf>
    <dxf>
      <fill>
        <patternFill patternType="solid">
          <fgColor rgb="FFDCE8C4"/>
        </patternFill>
      </fill>
    </dxf>
    <dxf>
      <fill>
        <patternFill patternType="solid">
          <fgColor rgb="FFDCE8C4"/>
        </patternFill>
      </fill>
    </dxf>
    <dxf>
      <fill>
        <patternFill patternType="solid">
          <fgColor rgb="FFDCE8C4"/>
        </patternFill>
      </fill>
    </dxf>
    <dxf>
      <fill>
        <patternFill patternType="solid">
          <fgColor rgb="FFDCE8C4"/>
        </patternFill>
      </fill>
    </dxf>
    <dxf>
      <fill>
        <patternFill patternType="solid">
          <fgColor rgb="FFDCE8C4"/>
        </patternFill>
      </fill>
    </dxf>
    <dxf>
      <fill>
        <patternFill patternType="solid">
          <fgColor rgb="FFDCE8C4"/>
        </patternFill>
      </fill>
    </dxf>
    <dxf>
      <fill>
        <patternFill patternType="solid">
          <fgColor rgb="FFDCE8C4"/>
        </patternFill>
      </fill>
    </dxf>
    <dxf>
      <fill>
        <patternFill patternType="solid">
          <fgColor rgb="FFDCE8C4"/>
        </patternFill>
      </fill>
    </dxf>
    <dxf>
      <fill>
        <patternFill patternType="solid">
          <fgColor rgb="FFDCE8C4"/>
        </patternFill>
      </fill>
    </dxf>
    <dxf>
      <fill>
        <patternFill patternType="solid">
          <fgColor rgb="FFDCE8C4"/>
        </patternFill>
      </fill>
    </dxf>
    <dxf>
      <fill>
        <patternFill patternType="solid">
          <fgColor rgb="FFDCE8C4"/>
        </patternFill>
      </fill>
    </dxf>
    <dxf>
      <fill>
        <patternFill patternType="solid">
          <fgColor rgb="FFDCE8C4"/>
        </patternFill>
      </fill>
    </dxf>
    <dxf>
      <fill>
        <patternFill patternType="solid">
          <fgColor rgb="FFDCE8C4"/>
        </patternFill>
      </fill>
    </dxf>
    <dxf>
      <fill>
        <patternFill patternType="solid">
          <fgColor rgb="FFDCE8C4"/>
        </patternFill>
      </fill>
    </dxf>
    <dxf>
      <fill>
        <patternFill patternType="solid">
          <fgColor rgb="FFDCE8C4"/>
        </patternFill>
      </fill>
    </dxf>
    <dxf>
      <fill>
        <patternFill patternType="solid">
          <fgColor rgb="FFDCE8C4"/>
        </patternFill>
      </fill>
    </dxf>
    <dxf>
      <fill>
        <patternFill patternType="solid">
          <fgColor rgb="FFDCE8C4"/>
        </patternFill>
      </fill>
    </dxf>
    <dxf>
      <fill>
        <patternFill patternType="solid">
          <fgColor rgb="FFDCE8C4"/>
        </patternFill>
      </fill>
    </dxf>
    <dxf>
      <fill>
        <patternFill patternType="solid">
          <fgColor rgb="FFDCE8C4"/>
        </patternFill>
      </fill>
    </dxf>
    <dxf>
      <fill>
        <patternFill patternType="solid">
          <fgColor rgb="FFDCE8C4"/>
        </patternFill>
      </fill>
    </dxf>
    <dxf>
      <fill>
        <patternFill patternType="solid">
          <fgColor rgb="FFDCE8C4"/>
        </patternFill>
      </fill>
    </dxf>
    <dxf>
      <fill>
        <patternFill patternType="solid">
          <fgColor rgb="FFDCE8C4"/>
        </patternFill>
      </fill>
    </dxf>
    <dxf>
      <fill>
        <patternFill patternType="solid">
          <fgColor rgb="FFDCE8C4"/>
        </patternFill>
      </fill>
    </dxf>
    <dxf>
      <fill>
        <patternFill patternType="solid">
          <fgColor rgb="FFDCE8C4"/>
        </patternFill>
      </fill>
    </dxf>
    <dxf>
      <fill>
        <patternFill patternType="solid">
          <fgColor rgb="FFDCE8C4"/>
        </patternFill>
      </fill>
    </dxf>
    <dxf>
      <fill>
        <patternFill patternType="solid">
          <fgColor rgb="FFDCE8C4"/>
        </patternFill>
      </fill>
    </dxf>
    <dxf>
      <fill>
        <patternFill patternType="solid">
          <fgColor rgb="FFDCE8C4"/>
        </patternFill>
      </fill>
    </dxf>
    <dxf>
      <fill>
        <patternFill patternType="solid">
          <fgColor rgb="FFDCE8C4"/>
        </patternFill>
      </fill>
    </dxf>
    <dxf>
      <fill>
        <patternFill patternType="solid">
          <fgColor rgb="FFDCE8C4"/>
        </patternFill>
      </fill>
    </dxf>
    <dxf>
      <fill>
        <patternFill patternType="solid">
          <fgColor rgb="FFDCE8C4"/>
        </patternFill>
      </fill>
    </dxf>
    <dxf>
      <fill>
        <patternFill patternType="solid">
          <fgColor rgb="FFDCE8C4"/>
        </patternFill>
      </fill>
    </dxf>
    <dxf>
      <fill>
        <patternFill patternType="solid">
          <fgColor rgb="FFDCE8C4"/>
        </patternFill>
      </fill>
    </dxf>
    <dxf>
      <fill>
        <patternFill patternType="solid">
          <fgColor rgb="FFDCE8C4"/>
        </patternFill>
      </fill>
    </dxf>
    <dxf>
      <fill>
        <patternFill patternType="solid">
          <fgColor rgb="FFDCE8C4"/>
        </patternFill>
      </fill>
    </dxf>
    <dxf>
      <fill>
        <patternFill patternType="solid">
          <fgColor rgb="FFDCE8C4"/>
        </patternFill>
      </fill>
    </dxf>
    <dxf>
      <fill>
        <patternFill patternType="solid">
          <fgColor rgb="FFDCE8C4"/>
        </patternFill>
      </fill>
    </dxf>
    <dxf>
      <fill>
        <patternFill patternType="solid">
          <fgColor rgb="FFDCE8C4"/>
        </patternFill>
      </fill>
    </dxf>
    <dxf>
      <fill>
        <patternFill patternType="solid">
          <fgColor rgb="FFDCE8C4"/>
        </patternFill>
      </fill>
    </dxf>
    <dxf>
      <fill>
        <patternFill patternType="solid">
          <fgColor rgb="FFDCE8C4"/>
        </patternFill>
      </fill>
    </dxf>
    <dxf>
      <fill>
        <patternFill patternType="solid">
          <fgColor rgb="FFDCE8C4"/>
        </patternFill>
      </fill>
    </dxf>
    <dxf>
      <fill>
        <patternFill patternType="solid">
          <fgColor rgb="FFDCE8C4"/>
        </patternFill>
      </fill>
    </dxf>
    <dxf>
      <fill>
        <patternFill patternType="solid">
          <fgColor rgb="FFDCE8C4"/>
        </patternFill>
      </fill>
    </dxf>
    <dxf>
      <fill>
        <patternFill patternType="solid">
          <fgColor rgb="FFDCE8C4"/>
        </patternFill>
      </fill>
    </dxf>
    <dxf>
      <fill>
        <patternFill patternType="solid">
          <fgColor rgb="FFDCE8C4"/>
        </patternFill>
      </fill>
    </dxf>
    <dxf>
      <fill>
        <patternFill patternType="solid">
          <fgColor rgb="FFDCE8C4"/>
        </patternFill>
      </fill>
    </dxf>
    <dxf>
      <fill>
        <patternFill patternType="solid">
          <fgColor rgb="FFDCE8C4"/>
        </patternFill>
      </fill>
    </dxf>
    <dxf>
      <fill>
        <patternFill patternType="solid">
          <fgColor rgb="FFDCE8C4"/>
        </patternFill>
      </fill>
    </dxf>
    <dxf>
      <fill>
        <patternFill patternType="solid">
          <fgColor rgb="FFDCE8C4"/>
        </patternFill>
      </fill>
    </dxf>
    <dxf>
      <fill>
        <patternFill patternType="solid">
          <fgColor rgb="FFDCE8C4"/>
        </patternFill>
      </fill>
    </dxf>
    <dxf>
      <fill>
        <patternFill patternType="solid">
          <fgColor rgb="FFDCE8C4"/>
        </patternFill>
      </fill>
    </dxf>
    <dxf>
      <fill>
        <patternFill patternType="solid">
          <fgColor rgb="FFDCE8C4"/>
        </patternFill>
      </fill>
    </dxf>
    <dxf>
      <fill>
        <patternFill patternType="solid">
          <fgColor rgb="FFDCE8C4"/>
        </patternFill>
      </fill>
    </dxf>
    <dxf>
      <fill>
        <patternFill patternType="solid">
          <fgColor rgb="FFDCE8C4"/>
        </patternFill>
      </fill>
    </dxf>
    <dxf>
      <fill>
        <patternFill patternType="solid">
          <fgColor rgb="FFDCE8C4"/>
        </patternFill>
      </fill>
    </dxf>
    <dxf>
      <fill>
        <patternFill patternType="solid">
          <fgColor rgb="FFDCE8C4"/>
        </patternFill>
      </fill>
    </dxf>
    <dxf>
      <fill>
        <patternFill patternType="solid">
          <fgColor rgb="FFDCE8C4"/>
        </patternFill>
      </fill>
    </dxf>
    <dxf>
      <fill>
        <patternFill patternType="solid">
          <fgColor rgb="FFDCE8C4"/>
        </patternFill>
      </fill>
    </dxf>
    <dxf>
      <fill>
        <patternFill patternType="solid">
          <fgColor rgb="FFDCE8C4"/>
        </patternFill>
      </fill>
    </dxf>
    <dxf>
      <fill>
        <patternFill patternType="solid">
          <fgColor rgb="FFDCE8C4"/>
        </patternFill>
      </fill>
    </dxf>
    <dxf>
      <fill>
        <patternFill patternType="solid">
          <fgColor rgb="FFDCE8C4"/>
        </patternFill>
      </fill>
    </dxf>
    <dxf>
      <fill>
        <patternFill patternType="solid">
          <fgColor rgb="FFDCE8C4"/>
        </patternFill>
      </fill>
    </dxf>
    <dxf>
      <fill>
        <patternFill patternType="solid">
          <fgColor rgb="FFDCE8C4"/>
        </patternFill>
      </fill>
    </dxf>
    <dxf>
      <fill>
        <patternFill patternType="solid">
          <fgColor rgb="FFDCE8C4"/>
        </patternFill>
      </fill>
    </dxf>
    <dxf>
      <fill>
        <patternFill patternType="solid">
          <fgColor rgb="FFDCE8C4"/>
        </patternFill>
      </fill>
    </dxf>
    <dxf>
      <fill>
        <patternFill patternType="solid">
          <fgColor rgb="FFDCE8C4"/>
        </patternFill>
      </fill>
    </dxf>
    <dxf>
      <fill>
        <patternFill patternType="solid">
          <fgColor rgb="FFDCE8C4"/>
        </patternFill>
      </fill>
    </dxf>
    <dxf>
      <fill>
        <patternFill patternType="solid">
          <fgColor rgb="FFDCE8C4"/>
        </patternFill>
      </fill>
    </dxf>
    <dxf>
      <fill>
        <patternFill patternType="solid">
          <fgColor rgb="FFDCE8C4"/>
        </patternFill>
      </fill>
    </dxf>
    <dxf>
      <fill>
        <patternFill patternType="solid">
          <fgColor rgb="FFDCE8C4"/>
        </patternFill>
      </fill>
    </dxf>
    <dxf>
      <fill>
        <patternFill patternType="solid">
          <fgColor rgb="FFDCE8C4"/>
        </patternFill>
      </fill>
    </dxf>
    <dxf>
      <fill>
        <patternFill patternType="solid">
          <fgColor rgb="FFDCE8C4"/>
        </patternFill>
      </fill>
    </dxf>
    <dxf>
      <fill>
        <patternFill patternType="solid">
          <fgColor rgb="FFDCE8C4"/>
        </patternFill>
      </fill>
    </dxf>
    <dxf>
      <fill>
        <patternFill patternType="solid">
          <fgColor rgb="FFDCE8C4"/>
        </patternFill>
      </fill>
    </dxf>
    <dxf>
      <fill>
        <patternFill patternType="solid">
          <fgColor rgb="FFDCE8C4"/>
        </patternFill>
      </fill>
    </dxf>
    <dxf>
      <fill>
        <patternFill patternType="solid">
          <fgColor rgb="FFDCE8C4"/>
        </patternFill>
      </fill>
    </dxf>
    <dxf>
      <fill>
        <patternFill patternType="solid">
          <fgColor rgb="FFDCE8C4"/>
        </patternFill>
      </fill>
    </dxf>
    <dxf>
      <fill>
        <patternFill patternType="solid">
          <fgColor rgb="FFDCE8C4"/>
        </patternFill>
      </fill>
    </dxf>
    <dxf>
      <fill>
        <patternFill patternType="solid">
          <fgColor rgb="FFDCE8C4"/>
        </patternFill>
      </fill>
    </dxf>
    <dxf>
      <fill>
        <patternFill patternType="solid">
          <fgColor rgb="FFDCE8C4"/>
        </patternFill>
      </fill>
    </dxf>
    <dxf>
      <fill>
        <patternFill patternType="solid">
          <fgColor rgb="FFDCE8C4"/>
        </patternFill>
      </fill>
    </dxf>
    <dxf>
      <fill>
        <patternFill patternType="solid">
          <fgColor rgb="FFDCE8C4"/>
        </patternFill>
      </fill>
    </dxf>
    <dxf>
      <fill>
        <patternFill patternType="solid">
          <fgColor rgb="FFDCE8C4"/>
        </patternFill>
      </fill>
    </dxf>
    <dxf>
      <fill>
        <patternFill patternType="solid">
          <fgColor rgb="FFDCE8C4"/>
        </patternFill>
      </fill>
    </dxf>
    <dxf>
      <fill>
        <patternFill patternType="solid">
          <fgColor rgb="FFDCE8C4"/>
        </patternFill>
      </fill>
    </dxf>
    <dxf>
      <fill>
        <patternFill patternType="solid">
          <fgColor rgb="FFDCE8C4"/>
        </patternFill>
      </fill>
    </dxf>
    <dxf>
      <fill>
        <patternFill patternType="solid">
          <fgColor rgb="FFDCE8C4"/>
        </patternFill>
      </fill>
    </dxf>
    <dxf>
      <fill>
        <patternFill patternType="solid">
          <fgColor rgb="FFDCE8C4"/>
        </patternFill>
      </fill>
    </dxf>
    <dxf>
      <fill>
        <patternFill patternType="solid">
          <fgColor rgb="FFDCE8C4"/>
        </patternFill>
      </fill>
    </dxf>
    <dxf>
      <fill>
        <patternFill patternType="solid">
          <fgColor rgb="FFDCE8C4"/>
        </patternFill>
      </fill>
    </dxf>
    <dxf>
      <fill>
        <patternFill patternType="solid">
          <fgColor rgb="FFDCE8C4"/>
        </patternFill>
      </fill>
    </dxf>
    <dxf>
      <fill>
        <patternFill patternType="solid">
          <fgColor rgb="FFDCE8C4"/>
        </patternFill>
      </fill>
    </dxf>
    <dxf>
      <fill>
        <patternFill patternType="solid">
          <fgColor rgb="FFDCE8C4"/>
        </patternFill>
      </fill>
    </dxf>
    <dxf>
      <fill>
        <patternFill patternType="solid">
          <fgColor rgb="FFDCE8C4"/>
        </patternFill>
      </fill>
    </dxf>
    <dxf>
      <fill>
        <patternFill patternType="solid">
          <fgColor rgb="FFDCE8C4"/>
        </patternFill>
      </fill>
    </dxf>
    <dxf>
      <fill>
        <patternFill patternType="solid">
          <fgColor rgb="FFDCE8C4"/>
        </patternFill>
      </fill>
    </dxf>
    <dxf>
      <fill>
        <patternFill patternType="solid">
          <fgColor rgb="FFDCE8C4"/>
        </patternFill>
      </fill>
    </dxf>
    <dxf>
      <fill>
        <patternFill patternType="solid">
          <fgColor rgb="FFDCE8C4"/>
        </patternFill>
      </fill>
    </dxf>
    <dxf>
      <fill>
        <patternFill patternType="solid">
          <fgColor rgb="FFDCE8C4"/>
        </patternFill>
      </fill>
    </dxf>
    <dxf>
      <fill>
        <patternFill patternType="solid">
          <fgColor rgb="FFDCE8C4"/>
        </patternFill>
      </fill>
    </dxf>
    <dxf>
      <fill>
        <patternFill patternType="solid">
          <fgColor rgb="FFDCE8C4"/>
        </patternFill>
      </fill>
    </dxf>
    <dxf>
      <fill>
        <patternFill patternType="solid">
          <fgColor rgb="FFDCE8C4"/>
        </patternFill>
      </fill>
    </dxf>
    <dxf>
      <fill>
        <patternFill patternType="solid">
          <fgColor rgb="FFDCE8C4"/>
        </patternFill>
      </fill>
    </dxf>
    <dxf>
      <fill>
        <patternFill patternType="solid">
          <fgColor rgb="FFDCE8C4"/>
        </patternFill>
      </fill>
    </dxf>
    <dxf>
      <fill>
        <patternFill patternType="solid">
          <fgColor rgb="FFDCE8C4"/>
        </patternFill>
      </fill>
    </dxf>
    <dxf>
      <fill>
        <patternFill patternType="solid">
          <fgColor rgb="FFDCE8C4"/>
        </patternFill>
      </fill>
    </dxf>
    <dxf>
      <fill>
        <patternFill patternType="solid">
          <fgColor rgb="FFDCE8C4"/>
        </patternFill>
      </fill>
    </dxf>
    <dxf>
      <fill>
        <patternFill patternType="solid">
          <fgColor rgb="FFDCE8C4"/>
        </patternFill>
      </fill>
    </dxf>
    <dxf>
      <fill>
        <patternFill patternType="solid">
          <fgColor rgb="FFDCE8C4"/>
        </patternFill>
      </fill>
    </dxf>
    <dxf>
      <fill>
        <patternFill patternType="solid">
          <fgColor rgb="FFDCE8C4"/>
        </patternFill>
      </fill>
    </dxf>
    <dxf>
      <fill>
        <patternFill patternType="solid">
          <fgColor rgb="FFDCE8C4"/>
        </patternFill>
      </fill>
    </dxf>
    <dxf>
      <fill>
        <patternFill patternType="solid">
          <fgColor rgb="FFDCE8C4"/>
        </patternFill>
      </fill>
    </dxf>
    <dxf>
      <fill>
        <patternFill patternType="solid">
          <fgColor rgb="FFDCE8C4"/>
        </patternFill>
      </fill>
    </dxf>
    <dxf>
      <fill>
        <patternFill patternType="solid">
          <fgColor rgb="FFDCE8C4"/>
        </patternFill>
      </fill>
    </dxf>
    <dxf>
      <fill>
        <patternFill patternType="solid">
          <fgColor rgb="FFDCE8C4"/>
        </patternFill>
      </fill>
    </dxf>
    <dxf>
      <fill>
        <patternFill patternType="solid">
          <fgColor rgb="FFDCE8C4"/>
        </patternFill>
      </fill>
    </dxf>
    <dxf>
      <fill>
        <patternFill patternType="solid">
          <fgColor rgb="FFDCE8C4"/>
        </patternFill>
      </fill>
    </dxf>
    <dxf>
      <fill>
        <patternFill patternType="solid">
          <fgColor rgb="FFDCE8C4"/>
        </patternFill>
      </fill>
    </dxf>
    <dxf>
      <fill>
        <patternFill patternType="solid">
          <fgColor rgb="FFDCE8C4"/>
        </patternFill>
      </fill>
    </dxf>
    <dxf>
      <fill>
        <patternFill patternType="solid">
          <fgColor rgb="FFDCE8C4"/>
        </patternFill>
      </fill>
    </dxf>
    <dxf>
      <fill>
        <patternFill patternType="solid">
          <fgColor rgb="FFDCE8C4"/>
        </patternFill>
      </fill>
    </dxf>
    <dxf>
      <fill>
        <patternFill patternType="solid">
          <fgColor rgb="FFDCE8C4"/>
        </patternFill>
      </fill>
    </dxf>
    <dxf>
      <fill>
        <patternFill patternType="solid">
          <fgColor rgb="FFDCE8C4"/>
        </patternFill>
      </fill>
    </dxf>
    <dxf>
      <fill>
        <patternFill patternType="solid">
          <fgColor rgb="FFDCE8C4"/>
        </patternFill>
      </fill>
    </dxf>
    <dxf>
      <fill>
        <patternFill patternType="solid">
          <fgColor rgb="FFDCE8C4"/>
        </patternFill>
      </fill>
    </dxf>
    <dxf>
      <fill>
        <patternFill patternType="solid">
          <fgColor rgb="FFDCE8C4"/>
        </patternFill>
      </fill>
    </dxf>
    <dxf>
      <fill>
        <patternFill patternType="solid">
          <fgColor rgb="FFDCE8C4"/>
        </patternFill>
      </fill>
    </dxf>
    <dxf>
      <fill>
        <patternFill patternType="solid">
          <fgColor rgb="FFDCE8C4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D9E6F2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D9E6F2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D9E6F2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D9E6F2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D9E6F2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D9E6F2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D9E6F2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D9E6F2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D9E6F2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D9E6F2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D9E6F2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D9E6F2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D9E6F2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D9E6F2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D9E6F2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D9E6F2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D9E6F2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D9E6F2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D9E6F2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D9E6F2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D9E6F2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D9E6F2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D9E6F2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D9E6F2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D9E6F2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D9E6F2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D9E6F2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D9E6F2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D9E6F2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D9E6F2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D9E6F2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D9E6F2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D9E6F2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D9E6F2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D9E6F2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D9E6F2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D9E6F2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D9E6F2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D9E6F2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D9E6F2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D9E6F2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D9E6F2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D9E6F2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D9E6F2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D9E6F2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D9E6F2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D9E6F2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D9E6F2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D9E6F2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D9E6F2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D9E6F2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D9E6F2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D9E6F2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D9E6F2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D9E6F2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D9E6F2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D9E6F2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D9E6F2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D9E6F2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D9E6F2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D9E6F2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D9E6F2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D9E6F2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D9E6F2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D9E6F2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D9E6F2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D9E6F2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D9E6F2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D9E6F2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D9E6F2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D9E6F2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D9E6F2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D9E6F2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D9E6F2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D9E6F2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D9E6F2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D9E6F2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D9E6F2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D9E6F2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D9E6F2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D9E6F2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D9E6F2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D9E6F2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D9E6F2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D9E6F2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D9E6F2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D9E6F2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D9E6F2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D9E6F2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D9E6F2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D9E6F2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D9E6F2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D9E6F2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D9E6F2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D9E6F2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D9E6F2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D9E6F2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D9E6F2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D9E6F2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D9E6F2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D9E6F2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D9E6F2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D9E6F2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D9E6F2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D9E6F2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D9E6F2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D9E6F2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D9E6F2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D9E6F2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D9E6F2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D9E6F2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D9E6F2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D9E6F2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D9E6F2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D9E6F2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D9E6F2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D9E6F2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D9E6F2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D9E6F2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D9E6F2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D9E6F2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D9E6F2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D9E6F2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D9E6F2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D9E6F2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D9E6F2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D9E6F2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D9E6F2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D9E6F2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D9E6F2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D9E6F2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D9E6F2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D9E6F2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D9E6F2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D9E6F2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D9E6F2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D9E6F2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D9E6F2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D9E6F2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D9E6F2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D9E6F2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D9E6F2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D9E6F2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D9E6F2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D9E6F2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D9E6F2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D9E6F2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D9E6F2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D9E6F2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D9E6F2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D9E6F2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D9E6F2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D9E6F2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D9E6F2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D9E6F2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D9E6F2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D9E6F2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D9E6F2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D9E6F2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D9E6F2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D9E6F2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D9E6F2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D9E6F2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D9E6F2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D9E6F2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D9E6F2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D9E6F2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D9E6F2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D9E6F2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D9E6F2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D9E6F2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D9E6F2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D9E6F2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D9E6F2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D9E6F2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D9E6F2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D9E6F2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D9E6F2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D9E6F2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D9E6F2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D9E6F2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D9E6F2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D9E6F2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D9E6F2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D9E6F2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D9E6F2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D9E6F2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D9E6F2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D9E6F2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D9E6F2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D9E6F2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D9E6F2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D9E6F2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D9E6F2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D9E6F2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D9E6F2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D9E6F2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D9E6F2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D9E6F2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D9E6F2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D9E6F2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D9E6F2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D9E6F2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D9E6F2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D9E6F2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D9E6F2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D9E6F2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D9E6F2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D9E6F2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D9E6F2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D9E6F2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D9E6F2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D9E6F2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D9E6F2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D9E6F2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D9E6F2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D9E6F2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D9E6F2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D9E6F2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D9E6F2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D9E6F2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D9E6F2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D9E6F2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D9E6F2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D9E6F2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D9E6F2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D9E6F2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D9E6F2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D9E6F2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D9E6F2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D9E6F2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D9E6F2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D9E6F2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D9E6F2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D9E6F2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D9E6F2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D9E6F2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D9E6F2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D9E6F2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D9E6F2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D9E6F2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D9E6F2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D9E6F2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D9E6F2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D9E6F2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D9E6F2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D9E6F2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D9E6F2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D9E6F2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D9E6F2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D9E6F2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D9E6F2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D9E6F2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D9E6F2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D9E6F2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D9E6F2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D9E6F2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D9E6F2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D9E6F2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D9E6F2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D9E6F2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D9E6F2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D9E6F2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D9E6F2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D9E6F2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D9E6F2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D9E6F2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D9E6F2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D9E6F2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D9E6F2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D9E6F2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D9E6F2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D9E6F2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D9E6F2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D9E6F2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D9E6F2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D9E6F2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D9E6F2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D9E6F2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D9E6F2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D9E6F2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D9E6F2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D9E6F2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D9E6F2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D9E6F2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D9E6F2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D9E6F2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D9E6F2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D9E6F2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D9E6F2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D9E6F2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D9E6F2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D9E6F2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D9E6F2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D9E6F2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D9E6F2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D9E6F2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D9E6F2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D9E6F2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D9E6F2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D9E6F2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D9E6F2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D9E6F2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D9E6F2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D9E6F2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D9E6F2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D9E6F2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D9E6F2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D9E6F2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D9E6F2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D9E6F2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D9E6F2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D9E6F2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D9E6F2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D9E6F2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D9E6F2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D9E6F2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D9E6F2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D9E6F2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D9E6F2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D9E6F2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D9E6F2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D9E6F2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D9E6F2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D9E6F2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D9E6F2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D9E6F2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D9E6F2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D9E6F2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D9E6F2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D9E6F2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D9E6F2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D9E6F2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D9E6F2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D9E6F2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D9E6F2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D9E6F2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D9E6F2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D9E6F2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D9E6F2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D9E6F2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D9E6F2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D9E6F2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D9E6F2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D9E6F2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D9E6F2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D9E6F2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D9E6F2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D9E6F2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D9E6F2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D9E6F2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D9E6F2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D9E6F2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D9E6F2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D9E6F2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D9E6F2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D9E6F2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D9E6F2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D9E6F2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D9E6F2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D9E6F2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D9E6F2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D9E6F2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D9E6F2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D9E6F2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D9E6F2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D9E6F2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D9E6F2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D9E6F2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D9E6F2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D9E6F2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D9E6F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71"/>
  <sheetViews>
    <sheetView showGridLines="0" tabSelected="1" workbookViewId="0">
      <pane ySplit="1" topLeftCell="A2" activePane="bottomLeft" state="frozen"/>
      <selection pane="bottomLeft" activeCell="H8" sqref="H8"/>
    </sheetView>
  </sheetViews>
  <sheetFormatPr baseColWidth="10" defaultColWidth="8.83984375" defaultRowHeight="14.4" x14ac:dyDescent="0.55000000000000004"/>
  <cols>
    <col min="1" max="6" width="21" customWidth="1"/>
  </cols>
  <sheetData>
    <row r="1" spans="1:10" ht="28" customHeight="1" x14ac:dyDescent="0.55000000000000004">
      <c r="A1" s="16" t="s">
        <v>0</v>
      </c>
      <c r="B1" s="15"/>
      <c r="C1" s="15"/>
      <c r="D1" s="15"/>
      <c r="E1" s="15"/>
      <c r="F1" s="15"/>
      <c r="G1" s="1">
        <v>2026</v>
      </c>
      <c r="H1" s="14" t="s">
        <v>44</v>
      </c>
      <c r="I1" s="15"/>
      <c r="J1" s="15"/>
    </row>
    <row r="3" spans="1:10" ht="24" customHeight="1" x14ac:dyDescent="0.55000000000000004">
      <c r="A3" s="2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4" t="s">
        <v>6</v>
      </c>
    </row>
    <row r="4" spans="1:10" ht="23.05" customHeight="1" x14ac:dyDescent="0.55000000000000004">
      <c r="A4" s="5" t="str">
        <f>IF(MONTH(DATE($G$1,1,1))=1,TEXT(DATE($G$1,1,1),"d")&amp;" "&amp;CHOOSE(WEEKDAY(DATE($G$1,1,1),2),"Mo","Di","Mi","Do","Fr","Sa","So")&amp;IFERROR(CHAR(10)&amp;VLOOKUP(DATE($G$1,1,1),Feiertage!$A$2:$B$13,2,FALSE),""),"")</f>
        <v>d Do
Neujahr</v>
      </c>
      <c r="B4" s="6" t="str">
        <f>IF(MONTH(DATE($G$1,2,1))=2,TEXT(DATE($G$1,2,1),"d")&amp;" "&amp;CHOOSE(WEEKDAY(DATE($G$1,2,1),2),"Mo","Di","Mi","Do","Fr","Sa","So")&amp;IFERROR(CHAR(10)&amp;VLOOKUP(DATE($G$1,2,1),Feiertage!$A$2:$B$13,2,FALSE),""),"")</f>
        <v>d So</v>
      </c>
      <c r="C4" s="6" t="str">
        <f>IF(MONTH(DATE($G$1,3,1))=3,TEXT(DATE($G$1,3,1),"d")&amp;" "&amp;CHOOSE(WEEKDAY(DATE($G$1,3,1),2),"Mo","Di","Mi","Do","Fr","Sa","So")&amp;IFERROR(CHAR(10)&amp;VLOOKUP(DATE($G$1,3,1),Feiertage!$A$2:$B$13,2,FALSE),""),"")</f>
        <v>d So</v>
      </c>
      <c r="D4" s="6" t="str">
        <f>IF(MONTH(DATE($G$1,4,1))=4,TEXT(DATE($G$1,4,1),"d")&amp;" "&amp;CHOOSE(WEEKDAY(DATE($G$1,4,1),2),"Mo","Di","Mi","Do","Fr","Sa","So")&amp;IFERROR(CHAR(10)&amp;VLOOKUP(DATE($G$1,4,1),Feiertage!$A$2:$B$13,2,FALSE),""),"")</f>
        <v>d Mi</v>
      </c>
      <c r="E4" s="6" t="str">
        <f>IF(MONTH(DATE($G$1,5,1))=5,TEXT(DATE($G$1,5,1),"d")&amp;" "&amp;CHOOSE(WEEKDAY(DATE($G$1,5,1),2),"Mo","Di","Mi","Do","Fr","Sa","So")&amp;IFERROR(CHAR(10)&amp;VLOOKUP(DATE($G$1,5,1),Feiertage!$A$2:$B$13,2,FALSE),""),"")</f>
        <v>d Fr
Tag der Arbeit</v>
      </c>
      <c r="F4" s="7" t="str">
        <f>IF(MONTH(DATE($G$1,6,1))=6,TEXT(DATE($G$1,6,1),"d")&amp;" "&amp;CHOOSE(WEEKDAY(DATE($G$1,6,1),2),"Mo","Di","Mi","Do","Fr","Sa","So")&amp;IFERROR(CHAR(10)&amp;VLOOKUP(DATE($G$1,6,1),Feiertage!$A$2:$B$13,2,FALSE),""),"")</f>
        <v>d Mo</v>
      </c>
    </row>
    <row r="5" spans="1:10" ht="23.05" customHeight="1" x14ac:dyDescent="0.55000000000000004">
      <c r="A5" s="5" t="str">
        <f>IF(MONTH(DATE($G$1,1,2))=1,TEXT(DATE($G$1,1,2),"d")&amp;" "&amp;CHOOSE(WEEKDAY(DATE($G$1,1,2),2),"Mo","Di","Mi","Do","Fr","Sa","So")&amp;IFERROR(CHAR(10)&amp;VLOOKUP(DATE($G$1,1,2),Feiertage!$A$2:$B$13,2,FALSE),""),"")</f>
        <v>d Fr</v>
      </c>
      <c r="B5" s="6" t="str">
        <f>IF(MONTH(DATE($G$1,2,2))=2,TEXT(DATE($G$1,2,2),"d")&amp;" "&amp;CHOOSE(WEEKDAY(DATE($G$1,2,2),2),"Mo","Di","Mi","Do","Fr","Sa","So")&amp;IFERROR(CHAR(10)&amp;VLOOKUP(DATE($G$1,2,2),Feiertage!$A$2:$B$13,2,FALSE),""),"")</f>
        <v>d Mo</v>
      </c>
      <c r="C5" s="6" t="str">
        <f>IF(MONTH(DATE($G$1,3,2))=3,TEXT(DATE($G$1,3,2),"d")&amp;" "&amp;CHOOSE(WEEKDAY(DATE($G$1,3,2),2),"Mo","Di","Mi","Do","Fr","Sa","So")&amp;IFERROR(CHAR(10)&amp;VLOOKUP(DATE($G$1,3,2),Feiertage!$A$2:$B$13,2,FALSE),""),"")</f>
        <v>d Mo</v>
      </c>
      <c r="D5" s="6" t="str">
        <f>IF(MONTH(DATE($G$1,4,2))=4,TEXT(DATE($G$1,4,2),"d")&amp;" "&amp;CHOOSE(WEEKDAY(DATE($G$1,4,2),2),"Mo","Di","Mi","Do","Fr","Sa","So")&amp;IFERROR(CHAR(10)&amp;VLOOKUP(DATE($G$1,4,2),Feiertage!$A$2:$B$13,2,FALSE),""),"")</f>
        <v>d Do</v>
      </c>
      <c r="E5" s="6" t="str">
        <f>IF(MONTH(DATE($G$1,5,2))=5,TEXT(DATE($G$1,5,2),"d")&amp;" "&amp;CHOOSE(WEEKDAY(DATE($G$1,5,2),2),"Mo","Di","Mi","Do","Fr","Sa","So")&amp;IFERROR(CHAR(10)&amp;VLOOKUP(DATE($G$1,5,2),Feiertage!$A$2:$B$13,2,FALSE),""),"")</f>
        <v>d Sa</v>
      </c>
      <c r="F5" s="7" t="str">
        <f>IF(MONTH(DATE($G$1,6,2))=6,TEXT(DATE($G$1,6,2),"d")&amp;" "&amp;CHOOSE(WEEKDAY(DATE($G$1,6,2),2),"Mo","Di","Mi","Do","Fr","Sa","So")&amp;IFERROR(CHAR(10)&amp;VLOOKUP(DATE($G$1,6,2),Feiertage!$A$2:$B$13,2,FALSE),""),"")</f>
        <v>d Di</v>
      </c>
    </row>
    <row r="6" spans="1:10" ht="23.05" customHeight="1" x14ac:dyDescent="0.55000000000000004">
      <c r="A6" s="5" t="str">
        <f>IF(MONTH(DATE($G$1,1,3))=1,TEXT(DATE($G$1,1,3),"d")&amp;" "&amp;CHOOSE(WEEKDAY(DATE($G$1,1,3),2),"Mo","Di","Mi","Do","Fr","Sa","So")&amp;IFERROR(CHAR(10)&amp;VLOOKUP(DATE($G$1,1,3),Feiertage!$A$2:$B$13,2,FALSE),""),"")</f>
        <v>d Sa</v>
      </c>
      <c r="B6" s="6" t="str">
        <f>IF(MONTH(DATE($G$1,2,3))=2,TEXT(DATE($G$1,2,3),"d")&amp;" "&amp;CHOOSE(WEEKDAY(DATE($G$1,2,3),2),"Mo","Di","Mi","Do","Fr","Sa","So")&amp;IFERROR(CHAR(10)&amp;VLOOKUP(DATE($G$1,2,3),Feiertage!$A$2:$B$13,2,FALSE),""),"")</f>
        <v>d Di</v>
      </c>
      <c r="C6" s="6" t="str">
        <f>IF(MONTH(DATE($G$1,3,3))=3,TEXT(DATE($G$1,3,3),"d")&amp;" "&amp;CHOOSE(WEEKDAY(DATE($G$1,3,3),2),"Mo","Di","Mi","Do","Fr","Sa","So")&amp;IFERROR(CHAR(10)&amp;VLOOKUP(DATE($G$1,3,3),Feiertage!$A$2:$B$13,2,FALSE),""),"")</f>
        <v>d Di</v>
      </c>
      <c r="D6" s="6" t="str">
        <f>IF(MONTH(DATE($G$1,4,3))=4,TEXT(DATE($G$1,4,3),"d")&amp;" "&amp;CHOOSE(WEEKDAY(DATE($G$1,4,3),2),"Mo","Di","Mi","Do","Fr","Sa","So")&amp;IFERROR(CHAR(10)&amp;VLOOKUP(DATE($G$1,4,3),Feiertage!$A$2:$B$13,2,FALSE),""),"")</f>
        <v>d Fr
Karfreitag</v>
      </c>
      <c r="E6" s="6" t="str">
        <f>IF(MONTH(DATE($G$1,5,3))=5,TEXT(DATE($G$1,5,3),"d")&amp;" "&amp;CHOOSE(WEEKDAY(DATE($G$1,5,3),2),"Mo","Di","Mi","Do","Fr","Sa","So")&amp;IFERROR(CHAR(10)&amp;VLOOKUP(DATE($G$1,5,3),Feiertage!$A$2:$B$13,2,FALSE),""),"")</f>
        <v>d So</v>
      </c>
      <c r="F6" s="7" t="str">
        <f>IF(MONTH(DATE($G$1,6,3))=6,TEXT(DATE($G$1,6,3),"d")&amp;" "&amp;CHOOSE(WEEKDAY(DATE($G$1,6,3),2),"Mo","Di","Mi","Do","Fr","Sa","So")&amp;IFERROR(CHAR(10)&amp;VLOOKUP(DATE($G$1,6,3),Feiertage!$A$2:$B$13,2,FALSE),""),"")</f>
        <v>d Mi</v>
      </c>
    </row>
    <row r="7" spans="1:10" ht="23.05" customHeight="1" x14ac:dyDescent="0.55000000000000004">
      <c r="A7" s="5" t="str">
        <f>IF(MONTH(DATE($G$1,1,4))=1,TEXT(DATE($G$1,1,4),"d")&amp;" "&amp;CHOOSE(WEEKDAY(DATE($G$1,1,4),2),"Mo","Di","Mi","Do","Fr","Sa","So")&amp;IFERROR(CHAR(10)&amp;VLOOKUP(DATE($G$1,1,4),Feiertage!$A$2:$B$13,2,FALSE),""),"")</f>
        <v>d So</v>
      </c>
      <c r="B7" s="6" t="str">
        <f>IF(MONTH(DATE($G$1,2,4))=2,TEXT(DATE($G$1,2,4),"d")&amp;" "&amp;CHOOSE(WEEKDAY(DATE($G$1,2,4),2),"Mo","Di","Mi","Do","Fr","Sa","So")&amp;IFERROR(CHAR(10)&amp;VLOOKUP(DATE($G$1,2,4),Feiertage!$A$2:$B$13,2,FALSE),""),"")</f>
        <v>d Mi</v>
      </c>
      <c r="C7" s="6" t="str">
        <f>IF(MONTH(DATE($G$1,3,4))=3,TEXT(DATE($G$1,3,4),"d")&amp;" "&amp;CHOOSE(WEEKDAY(DATE($G$1,3,4),2),"Mo","Di","Mi","Do","Fr","Sa","So")&amp;IFERROR(CHAR(10)&amp;VLOOKUP(DATE($G$1,3,4),Feiertage!$A$2:$B$13,2,FALSE),""),"")</f>
        <v>d Mi</v>
      </c>
      <c r="D7" s="6" t="str">
        <f>IF(MONTH(DATE($G$1,4,4))=4,TEXT(DATE($G$1,4,4),"d")&amp;" "&amp;CHOOSE(WEEKDAY(DATE($G$1,4,4),2),"Mo","Di","Mi","Do","Fr","Sa","So")&amp;IFERROR(CHAR(10)&amp;VLOOKUP(DATE($G$1,4,4),Feiertage!$A$2:$B$13,2,FALSE),""),"")</f>
        <v>d Sa</v>
      </c>
      <c r="E7" s="6" t="str">
        <f>IF(MONTH(DATE($G$1,5,4))=5,TEXT(DATE($G$1,5,4),"d")&amp;" "&amp;CHOOSE(WEEKDAY(DATE($G$1,5,4),2),"Mo","Di","Mi","Do","Fr","Sa","So")&amp;IFERROR(CHAR(10)&amp;VLOOKUP(DATE($G$1,5,4),Feiertage!$A$2:$B$13,2,FALSE),""),"")</f>
        <v>d Mo</v>
      </c>
      <c r="F7" s="7" t="str">
        <f>IF(MONTH(DATE($G$1,6,4))=6,TEXT(DATE($G$1,6,4),"d")&amp;" "&amp;CHOOSE(WEEKDAY(DATE($G$1,6,4),2),"Mo","Di","Mi","Do","Fr","Sa","So")&amp;IFERROR(CHAR(10)&amp;VLOOKUP(DATE($G$1,6,4),Feiertage!$A$2:$B$13,2,FALSE),""),"")</f>
        <v>d Do</v>
      </c>
    </row>
    <row r="8" spans="1:10" ht="23.05" customHeight="1" x14ac:dyDescent="0.55000000000000004">
      <c r="A8" s="5" t="str">
        <f>IF(MONTH(DATE($G$1,1,5))=1,TEXT(DATE($G$1,1,5),"d")&amp;" "&amp;CHOOSE(WEEKDAY(DATE($G$1,1,5),2),"Mo","Di","Mi","Do","Fr","Sa","So")&amp;IFERROR(CHAR(10)&amp;VLOOKUP(DATE($G$1,1,5),Feiertage!$A$2:$B$13,2,FALSE),""),"")</f>
        <v>d Mo</v>
      </c>
      <c r="B8" s="6" t="str">
        <f>IF(MONTH(DATE($G$1,2,5))=2,TEXT(DATE($G$1,2,5),"d")&amp;" "&amp;CHOOSE(WEEKDAY(DATE($G$1,2,5),2),"Mo","Di","Mi","Do","Fr","Sa","So")&amp;IFERROR(CHAR(10)&amp;VLOOKUP(DATE($G$1,2,5),Feiertage!$A$2:$B$13,2,FALSE),""),"")</f>
        <v>d Do</v>
      </c>
      <c r="C8" s="6" t="str">
        <f>IF(MONTH(DATE($G$1,3,5))=3,TEXT(DATE($G$1,3,5),"d")&amp;" "&amp;CHOOSE(WEEKDAY(DATE($G$1,3,5),2),"Mo","Di","Mi","Do","Fr","Sa","So")&amp;IFERROR(CHAR(10)&amp;VLOOKUP(DATE($G$1,3,5),Feiertage!$A$2:$B$13,2,FALSE),""),"")</f>
        <v>d Do</v>
      </c>
      <c r="D8" s="6" t="str">
        <f>IF(MONTH(DATE($G$1,4,5))=4,TEXT(DATE($G$1,4,5),"d")&amp;" "&amp;CHOOSE(WEEKDAY(DATE($G$1,4,5),2),"Mo","Di","Mi","Do","Fr","Sa","So")&amp;IFERROR(CHAR(10)&amp;VLOOKUP(DATE($G$1,4,5),Feiertage!$A$2:$B$13,2,FALSE),""),"")</f>
        <v>d So
Ostern</v>
      </c>
      <c r="E8" s="6" t="str">
        <f>IF(MONTH(DATE($G$1,5,5))=5,TEXT(DATE($G$1,5,5),"d")&amp;" "&amp;CHOOSE(WEEKDAY(DATE($G$1,5,5),2),"Mo","Di","Mi","Do","Fr","Sa","So")&amp;IFERROR(CHAR(10)&amp;VLOOKUP(DATE($G$1,5,5),Feiertage!$A$2:$B$13,2,FALSE),""),"")</f>
        <v>d Di</v>
      </c>
      <c r="F8" s="7" t="str">
        <f>IF(MONTH(DATE($G$1,6,5))=6,TEXT(DATE($G$1,6,5),"d")&amp;" "&amp;CHOOSE(WEEKDAY(DATE($G$1,6,5),2),"Mo","Di","Mi","Do","Fr","Sa","So")&amp;IFERROR(CHAR(10)&amp;VLOOKUP(DATE($G$1,6,5),Feiertage!$A$2:$B$13,2,FALSE),""),"")</f>
        <v>d Fr</v>
      </c>
    </row>
    <row r="9" spans="1:10" ht="23.05" customHeight="1" x14ac:dyDescent="0.55000000000000004">
      <c r="A9" s="5" t="str">
        <f>IF(MONTH(DATE($G$1,1,6))=1,TEXT(DATE($G$1,1,6),"d")&amp;" "&amp;CHOOSE(WEEKDAY(DATE($G$1,1,6),2),"Mo","Di","Mi","Do","Fr","Sa","So")&amp;IFERROR(CHAR(10)&amp;VLOOKUP(DATE($G$1,1,6),Feiertage!$A$2:$B$13,2,FALSE),""),"")</f>
        <v>d Di</v>
      </c>
      <c r="B9" s="6" t="str">
        <f>IF(MONTH(DATE($G$1,2,6))=2,TEXT(DATE($G$1,2,6),"d")&amp;" "&amp;CHOOSE(WEEKDAY(DATE($G$1,2,6),2),"Mo","Di","Mi","Do","Fr","Sa","So")&amp;IFERROR(CHAR(10)&amp;VLOOKUP(DATE($G$1,2,6),Feiertage!$A$2:$B$13,2,FALSE),""),"")</f>
        <v>d Fr</v>
      </c>
      <c r="C9" s="6" t="str">
        <f>IF(MONTH(DATE($G$1,3,6))=3,TEXT(DATE($G$1,3,6),"d")&amp;" "&amp;CHOOSE(WEEKDAY(DATE($G$1,3,6),2),"Mo","Di","Mi","Do","Fr","Sa","So")&amp;IFERROR(CHAR(10)&amp;VLOOKUP(DATE($G$1,3,6),Feiertage!$A$2:$B$13,2,FALSE),""),"")</f>
        <v>d Fr</v>
      </c>
      <c r="D9" s="6" t="str">
        <f>IF(MONTH(DATE($G$1,4,6))=4,TEXT(DATE($G$1,4,6),"d")&amp;" "&amp;CHOOSE(WEEKDAY(DATE($G$1,4,6),2),"Mo","Di","Mi","Do","Fr","Sa","So")&amp;IFERROR(CHAR(10)&amp;VLOOKUP(DATE($G$1,4,6),Feiertage!$A$2:$B$13,2,FALSE),""),"")</f>
        <v>d Mo
Ostermontag</v>
      </c>
      <c r="E9" s="6" t="str">
        <f>IF(MONTH(DATE($G$1,5,6))=5,TEXT(DATE($G$1,5,6),"d")&amp;" "&amp;CHOOSE(WEEKDAY(DATE($G$1,5,6),2),"Mo","Di","Mi","Do","Fr","Sa","So")&amp;IFERROR(CHAR(10)&amp;VLOOKUP(DATE($G$1,5,6),Feiertage!$A$2:$B$13,2,FALSE),""),"")</f>
        <v>d Mi</v>
      </c>
      <c r="F9" s="7" t="str">
        <f>IF(MONTH(DATE($G$1,6,6))=6,TEXT(DATE($G$1,6,6),"d")&amp;" "&amp;CHOOSE(WEEKDAY(DATE($G$1,6,6),2),"Mo","Di","Mi","Do","Fr","Sa","So")&amp;IFERROR(CHAR(10)&amp;VLOOKUP(DATE($G$1,6,6),Feiertage!$A$2:$B$13,2,FALSE),""),"")</f>
        <v>d Sa</v>
      </c>
    </row>
    <row r="10" spans="1:10" ht="23.05" customHeight="1" x14ac:dyDescent="0.55000000000000004">
      <c r="A10" s="5" t="str">
        <f>IF(MONTH(DATE($G$1,1,7))=1,TEXT(DATE($G$1,1,7),"d")&amp;" "&amp;CHOOSE(WEEKDAY(DATE($G$1,1,7),2),"Mo","Di","Mi","Do","Fr","Sa","So")&amp;IFERROR(CHAR(10)&amp;VLOOKUP(DATE($G$1,1,7),Feiertage!$A$2:$B$13,2,FALSE),""),"")</f>
        <v>d Mi</v>
      </c>
      <c r="B10" s="6" t="str">
        <f>IF(MONTH(DATE($G$1,2,7))=2,TEXT(DATE($G$1,2,7),"d")&amp;" "&amp;CHOOSE(WEEKDAY(DATE($G$1,2,7),2),"Mo","Di","Mi","Do","Fr","Sa","So")&amp;IFERROR(CHAR(10)&amp;VLOOKUP(DATE($G$1,2,7),Feiertage!$A$2:$B$13,2,FALSE),""),"")</f>
        <v>d Sa</v>
      </c>
      <c r="C10" s="6" t="str">
        <f>IF(MONTH(DATE($G$1,3,7))=3,TEXT(DATE($G$1,3,7),"d")&amp;" "&amp;CHOOSE(WEEKDAY(DATE($G$1,3,7),2),"Mo","Di","Mi","Do","Fr","Sa","So")&amp;IFERROR(CHAR(10)&amp;VLOOKUP(DATE($G$1,3,7),Feiertage!$A$2:$B$13,2,FALSE),""),"")</f>
        <v>d Sa</v>
      </c>
      <c r="D10" s="6" t="str">
        <f>IF(MONTH(DATE($G$1,4,7))=4,TEXT(DATE($G$1,4,7),"d")&amp;" "&amp;CHOOSE(WEEKDAY(DATE($G$1,4,7),2),"Mo","Di","Mi","Do","Fr","Sa","So")&amp;IFERROR(CHAR(10)&amp;VLOOKUP(DATE($G$1,4,7),Feiertage!$A$2:$B$13,2,FALSE),""),"")</f>
        <v>d Di</v>
      </c>
      <c r="E10" s="6" t="str">
        <f>IF(MONTH(DATE($G$1,5,7))=5,TEXT(DATE($G$1,5,7),"d")&amp;" "&amp;CHOOSE(WEEKDAY(DATE($G$1,5,7),2),"Mo","Di","Mi","Do","Fr","Sa","So")&amp;IFERROR(CHAR(10)&amp;VLOOKUP(DATE($G$1,5,7),Feiertage!$A$2:$B$13,2,FALSE),""),"")</f>
        <v>d Do</v>
      </c>
      <c r="F10" s="7" t="str">
        <f>IF(MONTH(DATE($G$1,6,7))=6,TEXT(DATE($G$1,6,7),"d")&amp;" "&amp;CHOOSE(WEEKDAY(DATE($G$1,6,7),2),"Mo","Di","Mi","Do","Fr","Sa","So")&amp;IFERROR(CHAR(10)&amp;VLOOKUP(DATE($G$1,6,7),Feiertage!$A$2:$B$13,2,FALSE),""),"")</f>
        <v>d So</v>
      </c>
    </row>
    <row r="11" spans="1:10" ht="23.05" customHeight="1" x14ac:dyDescent="0.55000000000000004">
      <c r="A11" s="5" t="str">
        <f>IF(MONTH(DATE($G$1,1,8))=1,TEXT(DATE($G$1,1,8),"d")&amp;" "&amp;CHOOSE(WEEKDAY(DATE($G$1,1,8),2),"Mo","Di","Mi","Do","Fr","Sa","So")&amp;IFERROR(CHAR(10)&amp;VLOOKUP(DATE($G$1,1,8),Feiertage!$A$2:$B$13,2,FALSE),""),"")</f>
        <v>d Do</v>
      </c>
      <c r="B11" s="6" t="str">
        <f>IF(MONTH(DATE($G$1,2,8))=2,TEXT(DATE($G$1,2,8),"d")&amp;" "&amp;CHOOSE(WEEKDAY(DATE($G$1,2,8),2),"Mo","Di","Mi","Do","Fr","Sa","So")&amp;IFERROR(CHAR(10)&amp;VLOOKUP(DATE($G$1,2,8),Feiertage!$A$2:$B$13,2,FALSE),""),"")</f>
        <v>d So</v>
      </c>
      <c r="C11" s="6" t="str">
        <f>IF(MONTH(DATE($G$1,3,8))=3,TEXT(DATE($G$1,3,8),"d")&amp;" "&amp;CHOOSE(WEEKDAY(DATE($G$1,3,8),2),"Mo","Di","Mi","Do","Fr","Sa","So")&amp;IFERROR(CHAR(10)&amp;VLOOKUP(DATE($G$1,3,8),Feiertage!$A$2:$B$13,2,FALSE),""),"")</f>
        <v>d So</v>
      </c>
      <c r="D11" s="6" t="str">
        <f>IF(MONTH(DATE($G$1,4,8))=4,TEXT(DATE($G$1,4,8),"d")&amp;" "&amp;CHOOSE(WEEKDAY(DATE($G$1,4,8),2),"Mo","Di","Mi","Do","Fr","Sa","So")&amp;IFERROR(CHAR(10)&amp;VLOOKUP(DATE($G$1,4,8),Feiertage!$A$2:$B$13,2,FALSE),""),"")</f>
        <v>d Mi</v>
      </c>
      <c r="E11" s="6" t="str">
        <f>IF(MONTH(DATE($G$1,5,8))=5,TEXT(DATE($G$1,5,8),"d")&amp;" "&amp;CHOOSE(WEEKDAY(DATE($G$1,5,8),2),"Mo","Di","Mi","Do","Fr","Sa","So")&amp;IFERROR(CHAR(10)&amp;VLOOKUP(DATE($G$1,5,8),Feiertage!$A$2:$B$13,2,FALSE),""),"")</f>
        <v>d Fr</v>
      </c>
      <c r="F11" s="7" t="str">
        <f>IF(MONTH(DATE($G$1,6,8))=6,TEXT(DATE($G$1,6,8),"d")&amp;" "&amp;CHOOSE(WEEKDAY(DATE($G$1,6,8),2),"Mo","Di","Mi","Do","Fr","Sa","So")&amp;IFERROR(CHAR(10)&amp;VLOOKUP(DATE($G$1,6,8),Feiertage!$A$2:$B$13,2,FALSE),""),"")</f>
        <v>d Mo</v>
      </c>
    </row>
    <row r="12" spans="1:10" ht="23.05" customHeight="1" x14ac:dyDescent="0.55000000000000004">
      <c r="A12" s="5" t="str">
        <f>IF(MONTH(DATE($G$1,1,9))=1,TEXT(DATE($G$1,1,9),"d")&amp;" "&amp;CHOOSE(WEEKDAY(DATE($G$1,1,9),2),"Mo","Di","Mi","Do","Fr","Sa","So")&amp;IFERROR(CHAR(10)&amp;VLOOKUP(DATE($G$1,1,9),Feiertage!$A$2:$B$13,2,FALSE),""),"")</f>
        <v>d Fr</v>
      </c>
      <c r="B12" s="6" t="str">
        <f>IF(MONTH(DATE($G$1,2,9))=2,TEXT(DATE($G$1,2,9),"d")&amp;" "&amp;CHOOSE(WEEKDAY(DATE($G$1,2,9),2),"Mo","Di","Mi","Do","Fr","Sa","So")&amp;IFERROR(CHAR(10)&amp;VLOOKUP(DATE($G$1,2,9),Feiertage!$A$2:$B$13,2,FALSE),""),"")</f>
        <v>d Mo</v>
      </c>
      <c r="C12" s="6" t="str">
        <f>IF(MONTH(DATE($G$1,3,9))=3,TEXT(DATE($G$1,3,9),"d")&amp;" "&amp;CHOOSE(WEEKDAY(DATE($G$1,3,9),2),"Mo","Di","Mi","Do","Fr","Sa","So")&amp;IFERROR(CHAR(10)&amp;VLOOKUP(DATE($G$1,3,9),Feiertage!$A$2:$B$13,2,FALSE),""),"")</f>
        <v>d Mo</v>
      </c>
      <c r="D12" s="6" t="str">
        <f>IF(MONTH(DATE($G$1,4,9))=4,TEXT(DATE($G$1,4,9),"d")&amp;" "&amp;CHOOSE(WEEKDAY(DATE($G$1,4,9),2),"Mo","Di","Mi","Do","Fr","Sa","So")&amp;IFERROR(CHAR(10)&amp;VLOOKUP(DATE($G$1,4,9),Feiertage!$A$2:$B$13,2,FALSE),""),"")</f>
        <v>d Do</v>
      </c>
      <c r="E12" s="6" t="str">
        <f>IF(MONTH(DATE($G$1,5,9))=5,TEXT(DATE($G$1,5,9),"d")&amp;" "&amp;CHOOSE(WEEKDAY(DATE($G$1,5,9),2),"Mo","Di","Mi","Do","Fr","Sa","So")&amp;IFERROR(CHAR(10)&amp;VLOOKUP(DATE($G$1,5,9),Feiertage!$A$2:$B$13,2,FALSE),""),"")</f>
        <v>d Sa</v>
      </c>
      <c r="F12" s="7" t="str">
        <f>IF(MONTH(DATE($G$1,6,9))=6,TEXT(DATE($G$1,6,9),"d")&amp;" "&amp;CHOOSE(WEEKDAY(DATE($G$1,6,9),2),"Mo","Di","Mi","Do","Fr","Sa","So")&amp;IFERROR(CHAR(10)&amp;VLOOKUP(DATE($G$1,6,9),Feiertage!$A$2:$B$13,2,FALSE),""),"")</f>
        <v>d Di</v>
      </c>
    </row>
    <row r="13" spans="1:10" ht="23.05" customHeight="1" x14ac:dyDescent="0.55000000000000004">
      <c r="A13" s="5" t="str">
        <f>IF(MONTH(DATE($G$1,1,10))=1,TEXT(DATE($G$1,1,10),"d")&amp;" "&amp;CHOOSE(WEEKDAY(DATE($G$1,1,10),2),"Mo","Di","Mi","Do","Fr","Sa","So")&amp;IFERROR(CHAR(10)&amp;VLOOKUP(DATE($G$1,1,10),Feiertage!$A$2:$B$13,2,FALSE),""),"")</f>
        <v>d Sa</v>
      </c>
      <c r="B13" s="6" t="str">
        <f>IF(MONTH(DATE($G$1,2,10))=2,TEXT(DATE($G$1,2,10),"d")&amp;" "&amp;CHOOSE(WEEKDAY(DATE($G$1,2,10),2),"Mo","Di","Mi","Do","Fr","Sa","So")&amp;IFERROR(CHAR(10)&amp;VLOOKUP(DATE($G$1,2,10),Feiertage!$A$2:$B$13,2,FALSE),""),"")</f>
        <v>d Di</v>
      </c>
      <c r="C13" s="6" t="str">
        <f>IF(MONTH(DATE($G$1,3,10))=3,TEXT(DATE($G$1,3,10),"d")&amp;" "&amp;CHOOSE(WEEKDAY(DATE($G$1,3,10),2),"Mo","Di","Mi","Do","Fr","Sa","So")&amp;IFERROR(CHAR(10)&amp;VLOOKUP(DATE($G$1,3,10),Feiertage!$A$2:$B$13,2,FALSE),""),"")</f>
        <v>d Di</v>
      </c>
      <c r="D13" s="6" t="str">
        <f>IF(MONTH(DATE($G$1,4,10))=4,TEXT(DATE($G$1,4,10),"d")&amp;" "&amp;CHOOSE(WEEKDAY(DATE($G$1,4,10),2),"Mo","Di","Mi","Do","Fr","Sa","So")&amp;IFERROR(CHAR(10)&amp;VLOOKUP(DATE($G$1,4,10),Feiertage!$A$2:$B$13,2,FALSE),""),"")</f>
        <v>d Fr</v>
      </c>
      <c r="E13" s="6" t="str">
        <f>IF(MONTH(DATE($G$1,5,10))=5,TEXT(DATE($G$1,5,10),"d")&amp;" "&amp;CHOOSE(WEEKDAY(DATE($G$1,5,10),2),"Mo","Di","Mi","Do","Fr","Sa","So")&amp;IFERROR(CHAR(10)&amp;VLOOKUP(DATE($G$1,5,10),Feiertage!$A$2:$B$13,2,FALSE),""),"")</f>
        <v>d So</v>
      </c>
      <c r="F13" s="7" t="str">
        <f>IF(MONTH(DATE($G$1,6,10))=6,TEXT(DATE($G$1,6,10),"d")&amp;" "&amp;CHOOSE(WEEKDAY(DATE($G$1,6,10),2),"Mo","Di","Mi","Do","Fr","Sa","So")&amp;IFERROR(CHAR(10)&amp;VLOOKUP(DATE($G$1,6,10),Feiertage!$A$2:$B$13,2,FALSE),""),"")</f>
        <v>d Mi</v>
      </c>
    </row>
    <row r="14" spans="1:10" ht="23.05" customHeight="1" x14ac:dyDescent="0.55000000000000004">
      <c r="A14" s="5" t="str">
        <f>IF(MONTH(DATE($G$1,1,11))=1,TEXT(DATE($G$1,1,11),"d")&amp;" "&amp;CHOOSE(WEEKDAY(DATE($G$1,1,11),2),"Mo","Di","Mi","Do","Fr","Sa","So")&amp;IFERROR(CHAR(10)&amp;VLOOKUP(DATE($G$1,1,11),Feiertage!$A$2:$B$13,2,FALSE),""),"")</f>
        <v>d So</v>
      </c>
      <c r="B14" s="6" t="str">
        <f>IF(MONTH(DATE($G$1,2,11))=2,TEXT(DATE($G$1,2,11),"d")&amp;" "&amp;CHOOSE(WEEKDAY(DATE($G$1,2,11),2),"Mo","Di","Mi","Do","Fr","Sa","So")&amp;IFERROR(CHAR(10)&amp;VLOOKUP(DATE($G$1,2,11),Feiertage!$A$2:$B$13,2,FALSE),""),"")</f>
        <v>d Mi</v>
      </c>
      <c r="C14" s="6" t="str">
        <f>IF(MONTH(DATE($G$1,3,11))=3,TEXT(DATE($G$1,3,11),"d")&amp;" "&amp;CHOOSE(WEEKDAY(DATE($G$1,3,11),2),"Mo","Di","Mi","Do","Fr","Sa","So")&amp;IFERROR(CHAR(10)&amp;VLOOKUP(DATE($G$1,3,11),Feiertage!$A$2:$B$13,2,FALSE),""),"")</f>
        <v>d Mi</v>
      </c>
      <c r="D14" s="6" t="str">
        <f>IF(MONTH(DATE($G$1,4,11))=4,TEXT(DATE($G$1,4,11),"d")&amp;" "&amp;CHOOSE(WEEKDAY(DATE($G$1,4,11),2),"Mo","Di","Mi","Do","Fr","Sa","So")&amp;IFERROR(CHAR(10)&amp;VLOOKUP(DATE($G$1,4,11),Feiertage!$A$2:$B$13,2,FALSE),""),"")</f>
        <v>d Sa</v>
      </c>
      <c r="E14" s="6" t="str">
        <f>IF(MONTH(DATE($G$1,5,11))=5,TEXT(DATE($G$1,5,11),"d")&amp;" "&amp;CHOOSE(WEEKDAY(DATE($G$1,5,11),2),"Mo","Di","Mi","Do","Fr","Sa","So")&amp;IFERROR(CHAR(10)&amp;VLOOKUP(DATE($G$1,5,11),Feiertage!$A$2:$B$13,2,FALSE),""),"")</f>
        <v>d Mo</v>
      </c>
      <c r="F14" s="7" t="str">
        <f>IF(MONTH(DATE($G$1,6,11))=6,TEXT(DATE($G$1,6,11),"d")&amp;" "&amp;CHOOSE(WEEKDAY(DATE($G$1,6,11),2),"Mo","Di","Mi","Do","Fr","Sa","So")&amp;IFERROR(CHAR(10)&amp;VLOOKUP(DATE($G$1,6,11),Feiertage!$A$2:$B$13,2,FALSE),""),"")</f>
        <v>d Do</v>
      </c>
    </row>
    <row r="15" spans="1:10" ht="23.05" customHeight="1" x14ac:dyDescent="0.55000000000000004">
      <c r="A15" s="5" t="str">
        <f>IF(MONTH(DATE($G$1,1,12))=1,TEXT(DATE($G$1,1,12),"d")&amp;" "&amp;CHOOSE(WEEKDAY(DATE($G$1,1,12),2),"Mo","Di","Mi","Do","Fr","Sa","So")&amp;IFERROR(CHAR(10)&amp;VLOOKUP(DATE($G$1,1,12),Feiertage!$A$2:$B$13,2,FALSE),""),"")</f>
        <v>d Mo</v>
      </c>
      <c r="B15" s="6" t="str">
        <f>IF(MONTH(DATE($G$1,2,12))=2,TEXT(DATE($G$1,2,12),"d")&amp;" "&amp;CHOOSE(WEEKDAY(DATE($G$1,2,12),2),"Mo","Di","Mi","Do","Fr","Sa","So")&amp;IFERROR(CHAR(10)&amp;VLOOKUP(DATE($G$1,2,12),Feiertage!$A$2:$B$13,2,FALSE),""),"")</f>
        <v>d Do</v>
      </c>
      <c r="C15" s="6" t="str">
        <f>IF(MONTH(DATE($G$1,3,12))=3,TEXT(DATE($G$1,3,12),"d")&amp;" "&amp;CHOOSE(WEEKDAY(DATE($G$1,3,12),2),"Mo","Di","Mi","Do","Fr","Sa","So")&amp;IFERROR(CHAR(10)&amp;VLOOKUP(DATE($G$1,3,12),Feiertage!$A$2:$B$13,2,FALSE),""),"")</f>
        <v>d Do</v>
      </c>
      <c r="D15" s="6" t="str">
        <f>IF(MONTH(DATE($G$1,4,12))=4,TEXT(DATE($G$1,4,12),"d")&amp;" "&amp;CHOOSE(WEEKDAY(DATE($G$1,4,12),2),"Mo","Di","Mi","Do","Fr","Sa","So")&amp;IFERROR(CHAR(10)&amp;VLOOKUP(DATE($G$1,4,12),Feiertage!$A$2:$B$13,2,FALSE),""),"")</f>
        <v>d So</v>
      </c>
      <c r="E15" s="6" t="str">
        <f>IF(MONTH(DATE($G$1,5,12))=5,TEXT(DATE($G$1,5,12),"d")&amp;" "&amp;CHOOSE(WEEKDAY(DATE($G$1,5,12),2),"Mo","Di","Mi","Do","Fr","Sa","So")&amp;IFERROR(CHAR(10)&amp;VLOOKUP(DATE($G$1,5,12),Feiertage!$A$2:$B$13,2,FALSE),""),"")</f>
        <v>d Di</v>
      </c>
      <c r="F15" s="7" t="str">
        <f>IF(MONTH(DATE($G$1,6,12))=6,TEXT(DATE($G$1,6,12),"d")&amp;" "&amp;CHOOSE(WEEKDAY(DATE($G$1,6,12),2),"Mo","Di","Mi","Do","Fr","Sa","So")&amp;IFERROR(CHAR(10)&amp;VLOOKUP(DATE($G$1,6,12),Feiertage!$A$2:$B$13,2,FALSE),""),"")</f>
        <v>d Fr</v>
      </c>
    </row>
    <row r="16" spans="1:10" ht="23.05" customHeight="1" x14ac:dyDescent="0.55000000000000004">
      <c r="A16" s="5" t="str">
        <f>IF(MONTH(DATE($G$1,1,13))=1,TEXT(DATE($G$1,1,13),"d")&amp;" "&amp;CHOOSE(WEEKDAY(DATE($G$1,1,13),2),"Mo","Di","Mi","Do","Fr","Sa","So")&amp;IFERROR(CHAR(10)&amp;VLOOKUP(DATE($G$1,1,13),Feiertage!$A$2:$B$13,2,FALSE),""),"")</f>
        <v>d Di</v>
      </c>
      <c r="B16" s="6" t="str">
        <f>IF(MONTH(DATE($G$1,2,13))=2,TEXT(DATE($G$1,2,13),"d")&amp;" "&amp;CHOOSE(WEEKDAY(DATE($G$1,2,13),2),"Mo","Di","Mi","Do","Fr","Sa","So")&amp;IFERROR(CHAR(10)&amp;VLOOKUP(DATE($G$1,2,13),Feiertage!$A$2:$B$13,2,FALSE),""),"")</f>
        <v>d Fr</v>
      </c>
      <c r="C16" s="6" t="str">
        <f>IF(MONTH(DATE($G$1,3,13))=3,TEXT(DATE($G$1,3,13),"d")&amp;" "&amp;CHOOSE(WEEKDAY(DATE($G$1,3,13),2),"Mo","Di","Mi","Do","Fr","Sa","So")&amp;IFERROR(CHAR(10)&amp;VLOOKUP(DATE($G$1,3,13),Feiertage!$A$2:$B$13,2,FALSE),""),"")</f>
        <v>d Fr</v>
      </c>
      <c r="D16" s="6" t="str">
        <f>IF(MONTH(DATE($G$1,4,13))=4,TEXT(DATE($G$1,4,13),"d")&amp;" "&amp;CHOOSE(WEEKDAY(DATE($G$1,4,13),2),"Mo","Di","Mi","Do","Fr","Sa","So")&amp;IFERROR(CHAR(10)&amp;VLOOKUP(DATE($G$1,4,13),Feiertage!$A$2:$B$13,2,FALSE),""),"")</f>
        <v>d Mo</v>
      </c>
      <c r="E16" s="6" t="str">
        <f>IF(MONTH(DATE($G$1,5,13))=5,TEXT(DATE($G$1,5,13),"d")&amp;" "&amp;CHOOSE(WEEKDAY(DATE($G$1,5,13),2),"Mo","Di","Mi","Do","Fr","Sa","So")&amp;IFERROR(CHAR(10)&amp;VLOOKUP(DATE($G$1,5,13),Feiertage!$A$2:$B$13,2,FALSE),""),"")</f>
        <v>d Mi</v>
      </c>
      <c r="F16" s="7" t="str">
        <f>IF(MONTH(DATE($G$1,6,13))=6,TEXT(DATE($G$1,6,13),"d")&amp;" "&amp;CHOOSE(WEEKDAY(DATE($G$1,6,13),2),"Mo","Di","Mi","Do","Fr","Sa","So")&amp;IFERROR(CHAR(10)&amp;VLOOKUP(DATE($G$1,6,13),Feiertage!$A$2:$B$13,2,FALSE),""),"")</f>
        <v>d Sa</v>
      </c>
    </row>
    <row r="17" spans="1:6" ht="23.05" customHeight="1" x14ac:dyDescent="0.55000000000000004">
      <c r="A17" s="5" t="str">
        <f>IF(MONTH(DATE($G$1,1,14))=1,TEXT(DATE($G$1,1,14),"d")&amp;" "&amp;CHOOSE(WEEKDAY(DATE($G$1,1,14),2),"Mo","Di","Mi","Do","Fr","Sa","So")&amp;IFERROR(CHAR(10)&amp;VLOOKUP(DATE($G$1,1,14),Feiertage!$A$2:$B$13,2,FALSE),""),"")</f>
        <v>d Mi</v>
      </c>
      <c r="B17" s="6" t="str">
        <f>IF(MONTH(DATE($G$1,2,14))=2,TEXT(DATE($G$1,2,14),"d")&amp;" "&amp;CHOOSE(WEEKDAY(DATE($G$1,2,14),2),"Mo","Di","Mi","Do","Fr","Sa","So")&amp;IFERROR(CHAR(10)&amp;VLOOKUP(DATE($G$1,2,14),Feiertage!$A$2:$B$13,2,FALSE),""),"")</f>
        <v>d Sa</v>
      </c>
      <c r="C17" s="6" t="str">
        <f>IF(MONTH(DATE($G$1,3,14))=3,TEXT(DATE($G$1,3,14),"d")&amp;" "&amp;CHOOSE(WEEKDAY(DATE($G$1,3,14),2),"Mo","Di","Mi","Do","Fr","Sa","So")&amp;IFERROR(CHAR(10)&amp;VLOOKUP(DATE($G$1,3,14),Feiertage!$A$2:$B$13,2,FALSE),""),"")</f>
        <v>d Sa</v>
      </c>
      <c r="D17" s="6" t="str">
        <f>IF(MONTH(DATE($G$1,4,14))=4,TEXT(DATE($G$1,4,14),"d")&amp;" "&amp;CHOOSE(WEEKDAY(DATE($G$1,4,14),2),"Mo","Di","Mi","Do","Fr","Sa","So")&amp;IFERROR(CHAR(10)&amp;VLOOKUP(DATE($G$1,4,14),Feiertage!$A$2:$B$13,2,FALSE),""),"")</f>
        <v>d Di</v>
      </c>
      <c r="E17" s="6" t="str">
        <f>IF(MONTH(DATE($G$1,5,14))=5,TEXT(DATE($G$1,5,14),"d")&amp;" "&amp;CHOOSE(WEEKDAY(DATE($G$1,5,14),2),"Mo","Di","Mi","Do","Fr","Sa","So")&amp;IFERROR(CHAR(10)&amp;VLOOKUP(DATE($G$1,5,14),Feiertage!$A$2:$B$13,2,FALSE),""),"")</f>
        <v>d Do
Christi Himmelfahrt</v>
      </c>
      <c r="F17" s="7" t="str">
        <f>IF(MONTH(DATE($G$1,6,14))=6,TEXT(DATE($G$1,6,14),"d")&amp;" "&amp;CHOOSE(WEEKDAY(DATE($G$1,6,14),2),"Mo","Di","Mi","Do","Fr","Sa","So")&amp;IFERROR(CHAR(10)&amp;VLOOKUP(DATE($G$1,6,14),Feiertage!$A$2:$B$13,2,FALSE),""),"")</f>
        <v>d So</v>
      </c>
    </row>
    <row r="18" spans="1:6" ht="23.05" customHeight="1" x14ac:dyDescent="0.55000000000000004">
      <c r="A18" s="5" t="str">
        <f>IF(MONTH(DATE($G$1,1,15))=1,TEXT(DATE($G$1,1,15),"d")&amp;" "&amp;CHOOSE(WEEKDAY(DATE($G$1,1,15),2),"Mo","Di","Mi","Do","Fr","Sa","So")&amp;IFERROR(CHAR(10)&amp;VLOOKUP(DATE($G$1,1,15),Feiertage!$A$2:$B$13,2,FALSE),""),"")</f>
        <v>d Do</v>
      </c>
      <c r="B18" s="6" t="str">
        <f>IF(MONTH(DATE($G$1,2,15))=2,TEXT(DATE($G$1,2,15),"d")&amp;" "&amp;CHOOSE(WEEKDAY(DATE($G$1,2,15),2),"Mo","Di","Mi","Do","Fr","Sa","So")&amp;IFERROR(CHAR(10)&amp;VLOOKUP(DATE($G$1,2,15),Feiertage!$A$2:$B$13,2,FALSE),""),"")</f>
        <v>d So</v>
      </c>
      <c r="C18" s="6" t="str">
        <f>IF(MONTH(DATE($G$1,3,15))=3,TEXT(DATE($G$1,3,15),"d")&amp;" "&amp;CHOOSE(WEEKDAY(DATE($G$1,3,15),2),"Mo","Di","Mi","Do","Fr","Sa","So")&amp;IFERROR(CHAR(10)&amp;VLOOKUP(DATE($G$1,3,15),Feiertage!$A$2:$B$13,2,FALSE),""),"")</f>
        <v>d So</v>
      </c>
      <c r="D18" s="6" t="str">
        <f>IF(MONTH(DATE($G$1,4,15))=4,TEXT(DATE($G$1,4,15),"d")&amp;" "&amp;CHOOSE(WEEKDAY(DATE($G$1,4,15),2),"Mo","Di","Mi","Do","Fr","Sa","So")&amp;IFERROR(CHAR(10)&amp;VLOOKUP(DATE($G$1,4,15),Feiertage!$A$2:$B$13,2,FALSE),""),"")</f>
        <v>d Mi</v>
      </c>
      <c r="E18" s="6" t="str">
        <f>IF(MONTH(DATE($G$1,5,15))=5,TEXT(DATE($G$1,5,15),"d")&amp;" "&amp;CHOOSE(WEEKDAY(DATE($G$1,5,15),2),"Mo","Di","Mi","Do","Fr","Sa","So")&amp;IFERROR(CHAR(10)&amp;VLOOKUP(DATE($G$1,5,15),Feiertage!$A$2:$B$13,2,FALSE),""),"")</f>
        <v>d Fr</v>
      </c>
      <c r="F18" s="7" t="str">
        <f>IF(MONTH(DATE($G$1,6,15))=6,TEXT(DATE($G$1,6,15),"d")&amp;" "&amp;CHOOSE(WEEKDAY(DATE($G$1,6,15),2),"Mo","Di","Mi","Do","Fr","Sa","So")&amp;IFERROR(CHAR(10)&amp;VLOOKUP(DATE($G$1,6,15),Feiertage!$A$2:$B$13,2,FALSE),""),"")</f>
        <v>d Mo</v>
      </c>
    </row>
    <row r="19" spans="1:6" ht="23.05" customHeight="1" x14ac:dyDescent="0.55000000000000004">
      <c r="A19" s="5" t="str">
        <f>IF(MONTH(DATE($G$1,1,16))=1,TEXT(DATE($G$1,1,16),"d")&amp;" "&amp;CHOOSE(WEEKDAY(DATE($G$1,1,16),2),"Mo","Di","Mi","Do","Fr","Sa","So")&amp;IFERROR(CHAR(10)&amp;VLOOKUP(DATE($G$1,1,16),Feiertage!$A$2:$B$13,2,FALSE),""),"")</f>
        <v>d Fr</v>
      </c>
      <c r="B19" s="6" t="str">
        <f>IF(MONTH(DATE($G$1,2,16))=2,TEXT(DATE($G$1,2,16),"d")&amp;" "&amp;CHOOSE(WEEKDAY(DATE($G$1,2,16),2),"Mo","Di","Mi","Do","Fr","Sa","So")&amp;IFERROR(CHAR(10)&amp;VLOOKUP(DATE($G$1,2,16),Feiertage!$A$2:$B$13,2,FALSE),""),"")</f>
        <v>d Mo</v>
      </c>
      <c r="C19" s="6" t="str">
        <f>IF(MONTH(DATE($G$1,3,16))=3,TEXT(DATE($G$1,3,16),"d")&amp;" "&amp;CHOOSE(WEEKDAY(DATE($G$1,3,16),2),"Mo","Di","Mi","Do","Fr","Sa","So")&amp;IFERROR(CHAR(10)&amp;VLOOKUP(DATE($G$1,3,16),Feiertage!$A$2:$B$13,2,FALSE),""),"")</f>
        <v>d Mo</v>
      </c>
      <c r="D19" s="6" t="str">
        <f>IF(MONTH(DATE($G$1,4,16))=4,TEXT(DATE($G$1,4,16),"d")&amp;" "&amp;CHOOSE(WEEKDAY(DATE($G$1,4,16),2),"Mo","Di","Mi","Do","Fr","Sa","So")&amp;IFERROR(CHAR(10)&amp;VLOOKUP(DATE($G$1,4,16),Feiertage!$A$2:$B$13,2,FALSE),""),"")</f>
        <v>d Do</v>
      </c>
      <c r="E19" s="6" t="str">
        <f>IF(MONTH(DATE($G$1,5,16))=5,TEXT(DATE($G$1,5,16),"d")&amp;" "&amp;CHOOSE(WEEKDAY(DATE($G$1,5,16),2),"Mo","Di","Mi","Do","Fr","Sa","So")&amp;IFERROR(CHAR(10)&amp;VLOOKUP(DATE($G$1,5,16),Feiertage!$A$2:$B$13,2,FALSE),""),"")</f>
        <v>d Sa</v>
      </c>
      <c r="F19" s="7" t="str">
        <f>IF(MONTH(DATE($G$1,6,16))=6,TEXT(DATE($G$1,6,16),"d")&amp;" "&amp;CHOOSE(WEEKDAY(DATE($G$1,6,16),2),"Mo","Di","Mi","Do","Fr","Sa","So")&amp;IFERROR(CHAR(10)&amp;VLOOKUP(DATE($G$1,6,16),Feiertage!$A$2:$B$13,2,FALSE),""),"")</f>
        <v>d Di</v>
      </c>
    </row>
    <row r="20" spans="1:6" ht="23.05" customHeight="1" x14ac:dyDescent="0.55000000000000004">
      <c r="A20" s="5" t="str">
        <f>IF(MONTH(DATE($G$1,1,17))=1,TEXT(DATE($G$1,1,17),"d")&amp;" "&amp;CHOOSE(WEEKDAY(DATE($G$1,1,17),2),"Mo","Di","Mi","Do","Fr","Sa","So")&amp;IFERROR(CHAR(10)&amp;VLOOKUP(DATE($G$1,1,17),Feiertage!$A$2:$B$13,2,FALSE),""),"")</f>
        <v>d Sa</v>
      </c>
      <c r="B20" s="6" t="str">
        <f>IF(MONTH(DATE($G$1,2,17))=2,TEXT(DATE($G$1,2,17),"d")&amp;" "&amp;CHOOSE(WEEKDAY(DATE($G$1,2,17),2),"Mo","Di","Mi","Do","Fr","Sa","So")&amp;IFERROR(CHAR(10)&amp;VLOOKUP(DATE($G$1,2,17),Feiertage!$A$2:$B$13,2,FALSE),""),"")</f>
        <v>d Di</v>
      </c>
      <c r="C20" s="6" t="str">
        <f>IF(MONTH(DATE($G$1,3,17))=3,TEXT(DATE($G$1,3,17),"d")&amp;" "&amp;CHOOSE(WEEKDAY(DATE($G$1,3,17),2),"Mo","Di","Mi","Do","Fr","Sa","So")&amp;IFERROR(CHAR(10)&amp;VLOOKUP(DATE($G$1,3,17),Feiertage!$A$2:$B$13,2,FALSE),""),"")</f>
        <v>d Di</v>
      </c>
      <c r="D20" s="6" t="str">
        <f>IF(MONTH(DATE($G$1,4,17))=4,TEXT(DATE($G$1,4,17),"d")&amp;" "&amp;CHOOSE(WEEKDAY(DATE($G$1,4,17),2),"Mo","Di","Mi","Do","Fr","Sa","So")&amp;IFERROR(CHAR(10)&amp;VLOOKUP(DATE($G$1,4,17),Feiertage!$A$2:$B$13,2,FALSE),""),"")</f>
        <v>d Fr</v>
      </c>
      <c r="E20" s="6" t="str">
        <f>IF(MONTH(DATE($G$1,5,17))=5,TEXT(DATE($G$1,5,17),"d")&amp;" "&amp;CHOOSE(WEEKDAY(DATE($G$1,5,17),2),"Mo","Di","Mi","Do","Fr","Sa","So")&amp;IFERROR(CHAR(10)&amp;VLOOKUP(DATE($G$1,5,17),Feiertage!$A$2:$B$13,2,FALSE),""),"")</f>
        <v>d So</v>
      </c>
      <c r="F20" s="7" t="str">
        <f>IF(MONTH(DATE($G$1,6,17))=6,TEXT(DATE($G$1,6,17),"d")&amp;" "&amp;CHOOSE(WEEKDAY(DATE($G$1,6,17),2),"Mo","Di","Mi","Do","Fr","Sa","So")&amp;IFERROR(CHAR(10)&amp;VLOOKUP(DATE($G$1,6,17),Feiertage!$A$2:$B$13,2,FALSE),""),"")</f>
        <v>d Mi</v>
      </c>
    </row>
    <row r="21" spans="1:6" ht="23.05" customHeight="1" x14ac:dyDescent="0.55000000000000004">
      <c r="A21" s="5" t="str">
        <f>IF(MONTH(DATE($G$1,1,18))=1,TEXT(DATE($G$1,1,18),"d")&amp;" "&amp;CHOOSE(WEEKDAY(DATE($G$1,1,18),2),"Mo","Di","Mi","Do","Fr","Sa","So")&amp;IFERROR(CHAR(10)&amp;VLOOKUP(DATE($G$1,1,18),Feiertage!$A$2:$B$13,2,FALSE),""),"")</f>
        <v>d So</v>
      </c>
      <c r="B21" s="6" t="str">
        <f>IF(MONTH(DATE($G$1,2,18))=2,TEXT(DATE($G$1,2,18),"d")&amp;" "&amp;CHOOSE(WEEKDAY(DATE($G$1,2,18),2),"Mo","Di","Mi","Do","Fr","Sa","So")&amp;IFERROR(CHAR(10)&amp;VLOOKUP(DATE($G$1,2,18),Feiertage!$A$2:$B$13,2,FALSE),""),"")</f>
        <v>d Mi</v>
      </c>
      <c r="C21" s="6" t="str">
        <f>IF(MONTH(DATE($G$1,3,18))=3,TEXT(DATE($G$1,3,18),"d")&amp;" "&amp;CHOOSE(WEEKDAY(DATE($G$1,3,18),2),"Mo","Di","Mi","Do","Fr","Sa","So")&amp;IFERROR(CHAR(10)&amp;VLOOKUP(DATE($G$1,3,18),Feiertage!$A$2:$B$13,2,FALSE),""),"")</f>
        <v>d Mi</v>
      </c>
      <c r="D21" s="6" t="str">
        <f>IF(MONTH(DATE($G$1,4,18))=4,TEXT(DATE($G$1,4,18),"d")&amp;" "&amp;CHOOSE(WEEKDAY(DATE($G$1,4,18),2),"Mo","Di","Mi","Do","Fr","Sa","So")&amp;IFERROR(CHAR(10)&amp;VLOOKUP(DATE($G$1,4,18),Feiertage!$A$2:$B$13,2,FALSE),""),"")</f>
        <v>d Sa</v>
      </c>
      <c r="E21" s="6" t="str">
        <f>IF(MONTH(DATE($G$1,5,18))=5,TEXT(DATE($G$1,5,18),"d")&amp;" "&amp;CHOOSE(WEEKDAY(DATE($G$1,5,18),2),"Mo","Di","Mi","Do","Fr","Sa","So")&amp;IFERROR(CHAR(10)&amp;VLOOKUP(DATE($G$1,5,18),Feiertage!$A$2:$B$13,2,FALSE),""),"")</f>
        <v>d Mo</v>
      </c>
      <c r="F21" s="7" t="str">
        <f>IF(MONTH(DATE($G$1,6,18))=6,TEXT(DATE($G$1,6,18),"d")&amp;" "&amp;CHOOSE(WEEKDAY(DATE($G$1,6,18),2),"Mo","Di","Mi","Do","Fr","Sa","So")&amp;IFERROR(CHAR(10)&amp;VLOOKUP(DATE($G$1,6,18),Feiertage!$A$2:$B$13,2,FALSE),""),"")</f>
        <v>d Do</v>
      </c>
    </row>
    <row r="22" spans="1:6" ht="23.05" customHeight="1" x14ac:dyDescent="0.55000000000000004">
      <c r="A22" s="5" t="str">
        <f>IF(MONTH(DATE($G$1,1,19))=1,TEXT(DATE($G$1,1,19),"d")&amp;" "&amp;CHOOSE(WEEKDAY(DATE($G$1,1,19),2),"Mo","Di","Mi","Do","Fr","Sa","So")&amp;IFERROR(CHAR(10)&amp;VLOOKUP(DATE($G$1,1,19),Feiertage!$A$2:$B$13,2,FALSE),""),"")</f>
        <v>d Mo</v>
      </c>
      <c r="B22" s="6" t="str">
        <f>IF(MONTH(DATE($G$1,2,19))=2,TEXT(DATE($G$1,2,19),"d")&amp;" "&amp;CHOOSE(WEEKDAY(DATE($G$1,2,19),2),"Mo","Di","Mi","Do","Fr","Sa","So")&amp;IFERROR(CHAR(10)&amp;VLOOKUP(DATE($G$1,2,19),Feiertage!$A$2:$B$13,2,FALSE),""),"")</f>
        <v>d Do</v>
      </c>
      <c r="C22" s="6" t="str">
        <f>IF(MONTH(DATE($G$1,3,19))=3,TEXT(DATE($G$1,3,19),"d")&amp;" "&amp;CHOOSE(WEEKDAY(DATE($G$1,3,19),2),"Mo","Di","Mi","Do","Fr","Sa","So")&amp;IFERROR(CHAR(10)&amp;VLOOKUP(DATE($G$1,3,19),Feiertage!$A$2:$B$13,2,FALSE),""),"")</f>
        <v>d Do</v>
      </c>
      <c r="D22" s="6" t="str">
        <f>IF(MONTH(DATE($G$1,4,19))=4,TEXT(DATE($G$1,4,19),"d")&amp;" "&amp;CHOOSE(WEEKDAY(DATE($G$1,4,19),2),"Mo","Di","Mi","Do","Fr","Sa","So")&amp;IFERROR(CHAR(10)&amp;VLOOKUP(DATE($G$1,4,19),Feiertage!$A$2:$B$13,2,FALSE),""),"")</f>
        <v>d So</v>
      </c>
      <c r="E22" s="6" t="str">
        <f>IF(MONTH(DATE($G$1,5,19))=5,TEXT(DATE($G$1,5,19),"d")&amp;" "&amp;CHOOSE(WEEKDAY(DATE($G$1,5,19),2),"Mo","Di","Mi","Do","Fr","Sa","So")&amp;IFERROR(CHAR(10)&amp;VLOOKUP(DATE($G$1,5,19),Feiertage!$A$2:$B$13,2,FALSE),""),"")</f>
        <v>d Di</v>
      </c>
      <c r="F22" s="7" t="str">
        <f>IF(MONTH(DATE($G$1,6,19))=6,TEXT(DATE($G$1,6,19),"d")&amp;" "&amp;CHOOSE(WEEKDAY(DATE($G$1,6,19),2),"Mo","Di","Mi","Do","Fr","Sa","So")&amp;IFERROR(CHAR(10)&amp;VLOOKUP(DATE($G$1,6,19),Feiertage!$A$2:$B$13,2,FALSE),""),"")</f>
        <v>d Fr</v>
      </c>
    </row>
    <row r="23" spans="1:6" ht="23.05" customHeight="1" x14ac:dyDescent="0.55000000000000004">
      <c r="A23" s="5" t="str">
        <f>IF(MONTH(DATE($G$1,1,20))=1,TEXT(DATE($G$1,1,20),"d")&amp;" "&amp;CHOOSE(WEEKDAY(DATE($G$1,1,20),2),"Mo","Di","Mi","Do","Fr","Sa","So")&amp;IFERROR(CHAR(10)&amp;VLOOKUP(DATE($G$1,1,20),Feiertage!$A$2:$B$13,2,FALSE),""),"")</f>
        <v>d Di</v>
      </c>
      <c r="B23" s="6" t="str">
        <f>IF(MONTH(DATE($G$1,2,20))=2,TEXT(DATE($G$1,2,20),"d")&amp;" "&amp;CHOOSE(WEEKDAY(DATE($G$1,2,20),2),"Mo","Di","Mi","Do","Fr","Sa","So")&amp;IFERROR(CHAR(10)&amp;VLOOKUP(DATE($G$1,2,20),Feiertage!$A$2:$B$13,2,FALSE),""),"")</f>
        <v>d Fr</v>
      </c>
      <c r="C23" s="6" t="str">
        <f>IF(MONTH(DATE($G$1,3,20))=3,TEXT(DATE($G$1,3,20),"d")&amp;" "&amp;CHOOSE(WEEKDAY(DATE($G$1,3,20),2),"Mo","Di","Mi","Do","Fr","Sa","So")&amp;IFERROR(CHAR(10)&amp;VLOOKUP(DATE($G$1,3,20),Feiertage!$A$2:$B$13,2,FALSE),""),"")</f>
        <v>d Fr</v>
      </c>
      <c r="D23" s="6" t="str">
        <f>IF(MONTH(DATE($G$1,4,20))=4,TEXT(DATE($G$1,4,20),"d")&amp;" "&amp;CHOOSE(WEEKDAY(DATE($G$1,4,20),2),"Mo","Di","Mi","Do","Fr","Sa","So")&amp;IFERROR(CHAR(10)&amp;VLOOKUP(DATE($G$1,4,20),Feiertage!$A$2:$B$13,2,FALSE),""),"")</f>
        <v>d Mo</v>
      </c>
      <c r="E23" s="6" t="str">
        <f>IF(MONTH(DATE($G$1,5,20))=5,TEXT(DATE($G$1,5,20),"d")&amp;" "&amp;CHOOSE(WEEKDAY(DATE($G$1,5,20),2),"Mo","Di","Mi","Do","Fr","Sa","So")&amp;IFERROR(CHAR(10)&amp;VLOOKUP(DATE($G$1,5,20),Feiertage!$A$2:$B$13,2,FALSE),""),"")</f>
        <v>d Mi</v>
      </c>
      <c r="F23" s="7" t="str">
        <f>IF(MONTH(DATE($G$1,6,20))=6,TEXT(DATE($G$1,6,20),"d")&amp;" "&amp;CHOOSE(WEEKDAY(DATE($G$1,6,20),2),"Mo","Di","Mi","Do","Fr","Sa","So")&amp;IFERROR(CHAR(10)&amp;VLOOKUP(DATE($G$1,6,20),Feiertage!$A$2:$B$13,2,FALSE),""),"")</f>
        <v>d Sa</v>
      </c>
    </row>
    <row r="24" spans="1:6" ht="23.05" customHeight="1" x14ac:dyDescent="0.55000000000000004">
      <c r="A24" s="5" t="str">
        <f>IF(MONTH(DATE($G$1,1,21))=1,TEXT(DATE($G$1,1,21),"d")&amp;" "&amp;CHOOSE(WEEKDAY(DATE($G$1,1,21),2),"Mo","Di","Mi","Do","Fr","Sa","So")&amp;IFERROR(CHAR(10)&amp;VLOOKUP(DATE($G$1,1,21),Feiertage!$A$2:$B$13,2,FALSE),""),"")</f>
        <v>d Mi</v>
      </c>
      <c r="B24" s="6" t="str">
        <f>IF(MONTH(DATE($G$1,2,21))=2,TEXT(DATE($G$1,2,21),"d")&amp;" "&amp;CHOOSE(WEEKDAY(DATE($G$1,2,21),2),"Mo","Di","Mi","Do","Fr","Sa","So")&amp;IFERROR(CHAR(10)&amp;VLOOKUP(DATE($G$1,2,21),Feiertage!$A$2:$B$13,2,FALSE),""),"")</f>
        <v>d Sa</v>
      </c>
      <c r="C24" s="6" t="str">
        <f>IF(MONTH(DATE($G$1,3,21))=3,TEXT(DATE($G$1,3,21),"d")&amp;" "&amp;CHOOSE(WEEKDAY(DATE($G$1,3,21),2),"Mo","Di","Mi","Do","Fr","Sa","So")&amp;IFERROR(CHAR(10)&amp;VLOOKUP(DATE($G$1,3,21),Feiertage!$A$2:$B$13,2,FALSE),""),"")</f>
        <v>d Sa</v>
      </c>
      <c r="D24" s="6" t="str">
        <f>IF(MONTH(DATE($G$1,4,21))=4,TEXT(DATE($G$1,4,21),"d")&amp;" "&amp;CHOOSE(WEEKDAY(DATE($G$1,4,21),2),"Mo","Di","Mi","Do","Fr","Sa","So")&amp;IFERROR(CHAR(10)&amp;VLOOKUP(DATE($G$1,4,21),Feiertage!$A$2:$B$13,2,FALSE),""),"")</f>
        <v>d Di</v>
      </c>
      <c r="E24" s="6" t="str">
        <f>IF(MONTH(DATE($G$1,5,21))=5,TEXT(DATE($G$1,5,21),"d")&amp;" "&amp;CHOOSE(WEEKDAY(DATE($G$1,5,21),2),"Mo","Di","Mi","Do","Fr","Sa","So")&amp;IFERROR(CHAR(10)&amp;VLOOKUP(DATE($G$1,5,21),Feiertage!$A$2:$B$13,2,FALSE),""),"")</f>
        <v>d Do</v>
      </c>
      <c r="F24" s="7" t="str">
        <f>IF(MONTH(DATE($G$1,6,21))=6,TEXT(DATE($G$1,6,21),"d")&amp;" "&amp;CHOOSE(WEEKDAY(DATE($G$1,6,21),2),"Mo","Di","Mi","Do","Fr","Sa","So")&amp;IFERROR(CHAR(10)&amp;VLOOKUP(DATE($G$1,6,21),Feiertage!$A$2:$B$13,2,FALSE),""),"")</f>
        <v>d So</v>
      </c>
    </row>
    <row r="25" spans="1:6" ht="23.05" customHeight="1" x14ac:dyDescent="0.55000000000000004">
      <c r="A25" s="5" t="str">
        <f>IF(MONTH(DATE($G$1,1,22))=1,TEXT(DATE($G$1,1,22),"d")&amp;" "&amp;CHOOSE(WEEKDAY(DATE($G$1,1,22),2),"Mo","Di","Mi","Do","Fr","Sa","So")&amp;IFERROR(CHAR(10)&amp;VLOOKUP(DATE($G$1,1,22),Feiertage!$A$2:$B$13,2,FALSE),""),"")</f>
        <v>d Do</v>
      </c>
      <c r="B25" s="6" t="str">
        <f>IF(MONTH(DATE($G$1,2,22))=2,TEXT(DATE($G$1,2,22),"d")&amp;" "&amp;CHOOSE(WEEKDAY(DATE($G$1,2,22),2),"Mo","Di","Mi","Do","Fr","Sa","So")&amp;IFERROR(CHAR(10)&amp;VLOOKUP(DATE($G$1,2,22),Feiertage!$A$2:$B$13,2,FALSE),""),"")</f>
        <v>d So</v>
      </c>
      <c r="C25" s="6" t="str">
        <f>IF(MONTH(DATE($G$1,3,22))=3,TEXT(DATE($G$1,3,22),"d")&amp;" "&amp;CHOOSE(WEEKDAY(DATE($G$1,3,22),2),"Mo","Di","Mi","Do","Fr","Sa","So")&amp;IFERROR(CHAR(10)&amp;VLOOKUP(DATE($G$1,3,22),Feiertage!$A$2:$B$13,2,FALSE),""),"")</f>
        <v>d So</v>
      </c>
      <c r="D25" s="6" t="str">
        <f>IF(MONTH(DATE($G$1,4,22))=4,TEXT(DATE($G$1,4,22),"d")&amp;" "&amp;CHOOSE(WEEKDAY(DATE($G$1,4,22),2),"Mo","Di","Mi","Do","Fr","Sa","So")&amp;IFERROR(CHAR(10)&amp;VLOOKUP(DATE($G$1,4,22),Feiertage!$A$2:$B$13,2,FALSE),""),"")</f>
        <v>d Mi</v>
      </c>
      <c r="E25" s="6" t="str">
        <f>IF(MONTH(DATE($G$1,5,22))=5,TEXT(DATE($G$1,5,22),"d")&amp;" "&amp;CHOOSE(WEEKDAY(DATE($G$1,5,22),2),"Mo","Di","Mi","Do","Fr","Sa","So")&amp;IFERROR(CHAR(10)&amp;VLOOKUP(DATE($G$1,5,22),Feiertage!$A$2:$B$13,2,FALSE),""),"")</f>
        <v>d Fr</v>
      </c>
      <c r="F25" s="7" t="str">
        <f>IF(MONTH(DATE($G$1,6,22))=6,TEXT(DATE($G$1,6,22),"d")&amp;" "&amp;CHOOSE(WEEKDAY(DATE($G$1,6,22),2),"Mo","Di","Mi","Do","Fr","Sa","So")&amp;IFERROR(CHAR(10)&amp;VLOOKUP(DATE($G$1,6,22),Feiertage!$A$2:$B$13,2,FALSE),""),"")</f>
        <v>d Mo</v>
      </c>
    </row>
    <row r="26" spans="1:6" ht="23.05" customHeight="1" x14ac:dyDescent="0.55000000000000004">
      <c r="A26" s="5" t="str">
        <f>IF(MONTH(DATE($G$1,1,23))=1,TEXT(DATE($G$1,1,23),"d")&amp;" "&amp;CHOOSE(WEEKDAY(DATE($G$1,1,23),2),"Mo","Di","Mi","Do","Fr","Sa","So")&amp;IFERROR(CHAR(10)&amp;VLOOKUP(DATE($G$1,1,23),Feiertage!$A$2:$B$13,2,FALSE),""),"")</f>
        <v>d Fr</v>
      </c>
      <c r="B26" s="6" t="str">
        <f>IF(MONTH(DATE($G$1,2,23))=2,TEXT(DATE($G$1,2,23),"d")&amp;" "&amp;CHOOSE(WEEKDAY(DATE($G$1,2,23),2),"Mo","Di","Mi","Do","Fr","Sa","So")&amp;IFERROR(CHAR(10)&amp;VLOOKUP(DATE($G$1,2,23),Feiertage!$A$2:$B$13,2,FALSE),""),"")</f>
        <v>d Mo</v>
      </c>
      <c r="C26" s="6" t="str">
        <f>IF(MONTH(DATE($G$1,3,23))=3,TEXT(DATE($G$1,3,23),"d")&amp;" "&amp;CHOOSE(WEEKDAY(DATE($G$1,3,23),2),"Mo","Di","Mi","Do","Fr","Sa","So")&amp;IFERROR(CHAR(10)&amp;VLOOKUP(DATE($G$1,3,23),Feiertage!$A$2:$B$13,2,FALSE),""),"")</f>
        <v>d Mo</v>
      </c>
      <c r="D26" s="6" t="str">
        <f>IF(MONTH(DATE($G$1,4,23))=4,TEXT(DATE($G$1,4,23),"d")&amp;" "&amp;CHOOSE(WEEKDAY(DATE($G$1,4,23),2),"Mo","Di","Mi","Do","Fr","Sa","So")&amp;IFERROR(CHAR(10)&amp;VLOOKUP(DATE($G$1,4,23),Feiertage!$A$2:$B$13,2,FALSE),""),"")</f>
        <v>d Do</v>
      </c>
      <c r="E26" s="6" t="str">
        <f>IF(MONTH(DATE($G$1,5,23))=5,TEXT(DATE($G$1,5,23),"d")&amp;" "&amp;CHOOSE(WEEKDAY(DATE($G$1,5,23),2),"Mo","Di","Mi","Do","Fr","Sa","So")&amp;IFERROR(CHAR(10)&amp;VLOOKUP(DATE($G$1,5,23),Feiertage!$A$2:$B$13,2,FALSE),""),"")</f>
        <v>d Sa</v>
      </c>
      <c r="F26" s="7" t="str">
        <f>IF(MONTH(DATE($G$1,6,23))=6,TEXT(DATE($G$1,6,23),"d")&amp;" "&amp;CHOOSE(WEEKDAY(DATE($G$1,6,23),2),"Mo","Di","Mi","Do","Fr","Sa","So")&amp;IFERROR(CHAR(10)&amp;VLOOKUP(DATE($G$1,6,23),Feiertage!$A$2:$B$13,2,FALSE),""),"")</f>
        <v>d Di</v>
      </c>
    </row>
    <row r="27" spans="1:6" ht="23.05" customHeight="1" x14ac:dyDescent="0.55000000000000004">
      <c r="A27" s="5" t="str">
        <f>IF(MONTH(DATE($G$1,1,24))=1,TEXT(DATE($G$1,1,24),"d")&amp;" "&amp;CHOOSE(WEEKDAY(DATE($G$1,1,24),2),"Mo","Di","Mi","Do","Fr","Sa","So")&amp;IFERROR(CHAR(10)&amp;VLOOKUP(DATE($G$1,1,24),Feiertage!$A$2:$B$13,2,FALSE),""),"")</f>
        <v>d Sa</v>
      </c>
      <c r="B27" s="6" t="str">
        <f>IF(MONTH(DATE($G$1,2,24))=2,TEXT(DATE($G$1,2,24),"d")&amp;" "&amp;CHOOSE(WEEKDAY(DATE($G$1,2,24),2),"Mo","Di","Mi","Do","Fr","Sa","So")&amp;IFERROR(CHAR(10)&amp;VLOOKUP(DATE($G$1,2,24),Feiertage!$A$2:$B$13,2,FALSE),""),"")</f>
        <v>d Di</v>
      </c>
      <c r="C27" s="6" t="str">
        <f>IF(MONTH(DATE($G$1,3,24))=3,TEXT(DATE($G$1,3,24),"d")&amp;" "&amp;CHOOSE(WEEKDAY(DATE($G$1,3,24),2),"Mo","Di","Mi","Do","Fr","Sa","So")&amp;IFERROR(CHAR(10)&amp;VLOOKUP(DATE($G$1,3,24),Feiertage!$A$2:$B$13,2,FALSE),""),"")</f>
        <v>d Di</v>
      </c>
      <c r="D27" s="6" t="str">
        <f>IF(MONTH(DATE($G$1,4,24))=4,TEXT(DATE($G$1,4,24),"d")&amp;" "&amp;CHOOSE(WEEKDAY(DATE($G$1,4,24),2),"Mo","Di","Mi","Do","Fr","Sa","So")&amp;IFERROR(CHAR(10)&amp;VLOOKUP(DATE($G$1,4,24),Feiertage!$A$2:$B$13,2,FALSE),""),"")</f>
        <v>d Fr</v>
      </c>
      <c r="E27" s="6" t="str">
        <f>IF(MONTH(DATE($G$1,5,24))=5,TEXT(DATE($G$1,5,24),"d")&amp;" "&amp;CHOOSE(WEEKDAY(DATE($G$1,5,24),2),"Mo","Di","Mi","Do","Fr","Sa","So")&amp;IFERROR(CHAR(10)&amp;VLOOKUP(DATE($G$1,5,24),Feiertage!$A$2:$B$13,2,FALSE),""),"")</f>
        <v>d So
Pfingsten</v>
      </c>
      <c r="F27" s="7" t="str">
        <f>IF(MONTH(DATE($G$1,6,24))=6,TEXT(DATE($G$1,6,24),"d")&amp;" "&amp;CHOOSE(WEEKDAY(DATE($G$1,6,24),2),"Mo","Di","Mi","Do","Fr","Sa","So")&amp;IFERROR(CHAR(10)&amp;VLOOKUP(DATE($G$1,6,24),Feiertage!$A$2:$B$13,2,FALSE),""),"")</f>
        <v>d Mi</v>
      </c>
    </row>
    <row r="28" spans="1:6" ht="23.05" customHeight="1" x14ac:dyDescent="0.55000000000000004">
      <c r="A28" s="5" t="str">
        <f>IF(MONTH(DATE($G$1,1,25))=1,TEXT(DATE($G$1,1,25),"d")&amp;" "&amp;CHOOSE(WEEKDAY(DATE($G$1,1,25),2),"Mo","Di","Mi","Do","Fr","Sa","So")&amp;IFERROR(CHAR(10)&amp;VLOOKUP(DATE($G$1,1,25),Feiertage!$A$2:$B$13,2,FALSE),""),"")</f>
        <v>d So</v>
      </c>
      <c r="B28" s="6" t="str">
        <f>IF(MONTH(DATE($G$1,2,25))=2,TEXT(DATE($G$1,2,25),"d")&amp;" "&amp;CHOOSE(WEEKDAY(DATE($G$1,2,25),2),"Mo","Di","Mi","Do","Fr","Sa","So")&amp;IFERROR(CHAR(10)&amp;VLOOKUP(DATE($G$1,2,25),Feiertage!$A$2:$B$13,2,FALSE),""),"")</f>
        <v>d Mi</v>
      </c>
      <c r="C28" s="6" t="str">
        <f>IF(MONTH(DATE($G$1,3,25))=3,TEXT(DATE($G$1,3,25),"d")&amp;" "&amp;CHOOSE(WEEKDAY(DATE($G$1,3,25),2),"Mo","Di","Mi","Do","Fr","Sa","So")&amp;IFERROR(CHAR(10)&amp;VLOOKUP(DATE($G$1,3,25),Feiertage!$A$2:$B$13,2,FALSE),""),"")</f>
        <v>d Mi</v>
      </c>
      <c r="D28" s="6" t="str">
        <f>IF(MONTH(DATE($G$1,4,25))=4,TEXT(DATE($G$1,4,25),"d")&amp;" "&amp;CHOOSE(WEEKDAY(DATE($G$1,4,25),2),"Mo","Di","Mi","Do","Fr","Sa","So")&amp;IFERROR(CHAR(10)&amp;VLOOKUP(DATE($G$1,4,25),Feiertage!$A$2:$B$13,2,FALSE),""),"")</f>
        <v>d Sa</v>
      </c>
      <c r="E28" s="6" t="str">
        <f>IF(MONTH(DATE($G$1,5,25))=5,TEXT(DATE($G$1,5,25),"d")&amp;" "&amp;CHOOSE(WEEKDAY(DATE($G$1,5,25),2),"Mo","Di","Mi","Do","Fr","Sa","So")&amp;IFERROR(CHAR(10)&amp;VLOOKUP(DATE($G$1,5,25),Feiertage!$A$2:$B$13,2,FALSE),""),"")</f>
        <v>d Mo
Pfingstmontag</v>
      </c>
      <c r="F28" s="7" t="str">
        <f>IF(MONTH(DATE($G$1,6,25))=6,TEXT(DATE($G$1,6,25),"d")&amp;" "&amp;CHOOSE(WEEKDAY(DATE($G$1,6,25),2),"Mo","Di","Mi","Do","Fr","Sa","So")&amp;IFERROR(CHAR(10)&amp;VLOOKUP(DATE($G$1,6,25),Feiertage!$A$2:$B$13,2,FALSE),""),"")</f>
        <v>d Do</v>
      </c>
    </row>
    <row r="29" spans="1:6" ht="23.05" customHeight="1" x14ac:dyDescent="0.55000000000000004">
      <c r="A29" s="5" t="str">
        <f>IF(MONTH(DATE($G$1,1,26))=1,TEXT(DATE($G$1,1,26),"d")&amp;" "&amp;CHOOSE(WEEKDAY(DATE($G$1,1,26),2),"Mo","Di","Mi","Do","Fr","Sa","So")&amp;IFERROR(CHAR(10)&amp;VLOOKUP(DATE($G$1,1,26),Feiertage!$A$2:$B$13,2,FALSE),""),"")</f>
        <v>d Mo</v>
      </c>
      <c r="B29" s="6" t="str">
        <f>IF(MONTH(DATE($G$1,2,26))=2,TEXT(DATE($G$1,2,26),"d")&amp;" "&amp;CHOOSE(WEEKDAY(DATE($G$1,2,26),2),"Mo","Di","Mi","Do","Fr","Sa","So")&amp;IFERROR(CHAR(10)&amp;VLOOKUP(DATE($G$1,2,26),Feiertage!$A$2:$B$13,2,FALSE),""),"")</f>
        <v>d Do</v>
      </c>
      <c r="C29" s="6" t="str">
        <f>IF(MONTH(DATE($G$1,3,26))=3,TEXT(DATE($G$1,3,26),"d")&amp;" "&amp;CHOOSE(WEEKDAY(DATE($G$1,3,26),2),"Mo","Di","Mi","Do","Fr","Sa","So")&amp;IFERROR(CHAR(10)&amp;VLOOKUP(DATE($G$1,3,26),Feiertage!$A$2:$B$13,2,FALSE),""),"")</f>
        <v>d Do</v>
      </c>
      <c r="D29" s="6" t="str">
        <f>IF(MONTH(DATE($G$1,4,26))=4,TEXT(DATE($G$1,4,26),"d")&amp;" "&amp;CHOOSE(WEEKDAY(DATE($G$1,4,26),2),"Mo","Di","Mi","Do","Fr","Sa","So")&amp;IFERROR(CHAR(10)&amp;VLOOKUP(DATE($G$1,4,26),Feiertage!$A$2:$B$13,2,FALSE),""),"")</f>
        <v>d So</v>
      </c>
      <c r="E29" s="6" t="str">
        <f>IF(MONTH(DATE($G$1,5,26))=5,TEXT(DATE($G$1,5,26),"d")&amp;" "&amp;CHOOSE(WEEKDAY(DATE($G$1,5,26),2),"Mo","Di","Mi","Do","Fr","Sa","So")&amp;IFERROR(CHAR(10)&amp;VLOOKUP(DATE($G$1,5,26),Feiertage!$A$2:$B$13,2,FALSE),""),"")</f>
        <v>d Di</v>
      </c>
      <c r="F29" s="7" t="str">
        <f>IF(MONTH(DATE($G$1,6,26))=6,TEXT(DATE($G$1,6,26),"d")&amp;" "&amp;CHOOSE(WEEKDAY(DATE($G$1,6,26),2),"Mo","Di","Mi","Do","Fr","Sa","So")&amp;IFERROR(CHAR(10)&amp;VLOOKUP(DATE($G$1,6,26),Feiertage!$A$2:$B$13,2,FALSE),""),"")</f>
        <v>d Fr</v>
      </c>
    </row>
    <row r="30" spans="1:6" ht="23.05" customHeight="1" x14ac:dyDescent="0.55000000000000004">
      <c r="A30" s="5" t="str">
        <f>IF(MONTH(DATE($G$1,1,27))=1,TEXT(DATE($G$1,1,27),"d")&amp;" "&amp;CHOOSE(WEEKDAY(DATE($G$1,1,27),2),"Mo","Di","Mi","Do","Fr","Sa","So")&amp;IFERROR(CHAR(10)&amp;VLOOKUP(DATE($G$1,1,27),Feiertage!$A$2:$B$13,2,FALSE),""),"")</f>
        <v>d Di</v>
      </c>
      <c r="B30" s="6" t="str">
        <f>IF(MONTH(DATE($G$1,2,27))=2,TEXT(DATE($G$1,2,27),"d")&amp;" "&amp;CHOOSE(WEEKDAY(DATE($G$1,2,27),2),"Mo","Di","Mi","Do","Fr","Sa","So")&amp;IFERROR(CHAR(10)&amp;VLOOKUP(DATE($G$1,2,27),Feiertage!$A$2:$B$13,2,FALSE),""),"")</f>
        <v>d Fr</v>
      </c>
      <c r="C30" s="6" t="str">
        <f>IF(MONTH(DATE($G$1,3,27))=3,TEXT(DATE($G$1,3,27),"d")&amp;" "&amp;CHOOSE(WEEKDAY(DATE($G$1,3,27),2),"Mo","Di","Mi","Do","Fr","Sa","So")&amp;IFERROR(CHAR(10)&amp;VLOOKUP(DATE($G$1,3,27),Feiertage!$A$2:$B$13,2,FALSE),""),"")</f>
        <v>d Fr</v>
      </c>
      <c r="D30" s="6" t="str">
        <f>IF(MONTH(DATE($G$1,4,27))=4,TEXT(DATE($G$1,4,27),"d")&amp;" "&amp;CHOOSE(WEEKDAY(DATE($G$1,4,27),2),"Mo","Di","Mi","Do","Fr","Sa","So")&amp;IFERROR(CHAR(10)&amp;VLOOKUP(DATE($G$1,4,27),Feiertage!$A$2:$B$13,2,FALSE),""),"")</f>
        <v>d Mo</v>
      </c>
      <c r="E30" s="6" t="str">
        <f>IF(MONTH(DATE($G$1,5,27))=5,TEXT(DATE($G$1,5,27),"d")&amp;" "&amp;CHOOSE(WEEKDAY(DATE($G$1,5,27),2),"Mo","Di","Mi","Do","Fr","Sa","So")&amp;IFERROR(CHAR(10)&amp;VLOOKUP(DATE($G$1,5,27),Feiertage!$A$2:$B$13,2,FALSE),""),"")</f>
        <v>d Mi</v>
      </c>
      <c r="F30" s="7" t="str">
        <f>IF(MONTH(DATE($G$1,6,27))=6,TEXT(DATE($G$1,6,27),"d")&amp;" "&amp;CHOOSE(WEEKDAY(DATE($G$1,6,27),2),"Mo","Di","Mi","Do","Fr","Sa","So")&amp;IFERROR(CHAR(10)&amp;VLOOKUP(DATE($G$1,6,27),Feiertage!$A$2:$B$13,2,FALSE),""),"")</f>
        <v>d Sa</v>
      </c>
    </row>
    <row r="31" spans="1:6" ht="23.05" customHeight="1" x14ac:dyDescent="0.55000000000000004">
      <c r="A31" s="5" t="str">
        <f>IF(MONTH(DATE($G$1,1,28))=1,TEXT(DATE($G$1,1,28),"d")&amp;" "&amp;CHOOSE(WEEKDAY(DATE($G$1,1,28),2),"Mo","Di","Mi","Do","Fr","Sa","So")&amp;IFERROR(CHAR(10)&amp;VLOOKUP(DATE($G$1,1,28),Feiertage!$A$2:$B$13,2,FALSE),""),"")</f>
        <v>d Mi</v>
      </c>
      <c r="B31" s="6" t="str">
        <f>IF(MONTH(DATE($G$1,2,28))=2,TEXT(DATE($G$1,2,28),"d")&amp;" "&amp;CHOOSE(WEEKDAY(DATE($G$1,2,28),2),"Mo","Di","Mi","Do","Fr","Sa","So")&amp;IFERROR(CHAR(10)&amp;VLOOKUP(DATE($G$1,2,28),Feiertage!$A$2:$B$13,2,FALSE),""),"")</f>
        <v>d Sa</v>
      </c>
      <c r="C31" s="6" t="str">
        <f>IF(MONTH(DATE($G$1,3,28))=3,TEXT(DATE($G$1,3,28),"d")&amp;" "&amp;CHOOSE(WEEKDAY(DATE($G$1,3,28),2),"Mo","Di","Mi","Do","Fr","Sa","So")&amp;IFERROR(CHAR(10)&amp;VLOOKUP(DATE($G$1,3,28),Feiertage!$A$2:$B$13,2,FALSE),""),"")</f>
        <v>d Sa</v>
      </c>
      <c r="D31" s="6" t="str">
        <f>IF(MONTH(DATE($G$1,4,28))=4,TEXT(DATE($G$1,4,28),"d")&amp;" "&amp;CHOOSE(WEEKDAY(DATE($G$1,4,28),2),"Mo","Di","Mi","Do","Fr","Sa","So")&amp;IFERROR(CHAR(10)&amp;VLOOKUP(DATE($G$1,4,28),Feiertage!$A$2:$B$13,2,FALSE),""),"")</f>
        <v>d Di</v>
      </c>
      <c r="E31" s="6" t="str">
        <f>IF(MONTH(DATE($G$1,5,28))=5,TEXT(DATE($G$1,5,28),"d")&amp;" "&amp;CHOOSE(WEEKDAY(DATE($G$1,5,28),2),"Mo","Di","Mi","Do","Fr","Sa","So")&amp;IFERROR(CHAR(10)&amp;VLOOKUP(DATE($G$1,5,28),Feiertage!$A$2:$B$13,2,FALSE),""),"")</f>
        <v>d Do</v>
      </c>
      <c r="F31" s="7" t="str">
        <f>IF(MONTH(DATE($G$1,6,28))=6,TEXT(DATE($G$1,6,28),"d")&amp;" "&amp;CHOOSE(WEEKDAY(DATE($G$1,6,28),2),"Mo","Di","Mi","Do","Fr","Sa","So")&amp;IFERROR(CHAR(10)&amp;VLOOKUP(DATE($G$1,6,28),Feiertage!$A$2:$B$13,2,FALSE),""),"")</f>
        <v>d So</v>
      </c>
    </row>
    <row r="32" spans="1:6" ht="23.05" customHeight="1" x14ac:dyDescent="0.55000000000000004">
      <c r="A32" s="5" t="str">
        <f>IF(MONTH(DATE($G$1,1,29))=1,TEXT(DATE($G$1,1,29),"d")&amp;" "&amp;CHOOSE(WEEKDAY(DATE($G$1,1,29),2),"Mo","Di","Mi","Do","Fr","Sa","So")&amp;IFERROR(CHAR(10)&amp;VLOOKUP(DATE($G$1,1,29),Feiertage!$A$2:$B$13,2,FALSE),""),"")</f>
        <v>d Do</v>
      </c>
      <c r="B32" s="6" t="str">
        <f>IF(MONTH(DATE($G$1,2,29))=2,TEXT(DATE($G$1,2,29),"d")&amp;" "&amp;CHOOSE(WEEKDAY(DATE($G$1,2,29),2),"Mo","Di","Mi","Do","Fr","Sa","So")&amp;IFERROR(CHAR(10)&amp;VLOOKUP(DATE($G$1,2,29),Feiertage!$A$2:$B$13,2,FALSE),""),"")</f>
        <v/>
      </c>
      <c r="C32" s="6" t="str">
        <f>IF(MONTH(DATE($G$1,3,29))=3,TEXT(DATE($G$1,3,29),"d")&amp;" "&amp;CHOOSE(WEEKDAY(DATE($G$1,3,29),2),"Mo","Di","Mi","Do","Fr","Sa","So")&amp;IFERROR(CHAR(10)&amp;VLOOKUP(DATE($G$1,3,29),Feiertage!$A$2:$B$13,2,FALSE),""),"")</f>
        <v>d So</v>
      </c>
      <c r="D32" s="6" t="str">
        <f>IF(MONTH(DATE($G$1,4,29))=4,TEXT(DATE($G$1,4,29),"d")&amp;" "&amp;CHOOSE(WEEKDAY(DATE($G$1,4,29),2),"Mo","Di","Mi","Do","Fr","Sa","So")&amp;IFERROR(CHAR(10)&amp;VLOOKUP(DATE($G$1,4,29),Feiertage!$A$2:$B$13,2,FALSE),""),"")</f>
        <v>d Mi</v>
      </c>
      <c r="E32" s="6" t="str">
        <f>IF(MONTH(DATE($G$1,5,29))=5,TEXT(DATE($G$1,5,29),"d")&amp;" "&amp;CHOOSE(WEEKDAY(DATE($G$1,5,29),2),"Mo","Di","Mi","Do","Fr","Sa","So")&amp;IFERROR(CHAR(10)&amp;VLOOKUP(DATE($G$1,5,29),Feiertage!$A$2:$B$13,2,FALSE),""),"")</f>
        <v>d Fr</v>
      </c>
      <c r="F32" s="7" t="str">
        <f>IF(MONTH(DATE($G$1,6,29))=6,TEXT(DATE($G$1,6,29),"d")&amp;" "&amp;CHOOSE(WEEKDAY(DATE($G$1,6,29),2),"Mo","Di","Mi","Do","Fr","Sa","So")&amp;IFERROR(CHAR(10)&amp;VLOOKUP(DATE($G$1,6,29),Feiertage!$A$2:$B$13,2,FALSE),""),"")</f>
        <v>d Mo</v>
      </c>
    </row>
    <row r="33" spans="1:6" ht="23.05" customHeight="1" x14ac:dyDescent="0.55000000000000004">
      <c r="A33" s="5" t="str">
        <f>IF(MONTH(DATE($G$1,1,30))=1,TEXT(DATE($G$1,1,30),"d")&amp;" "&amp;CHOOSE(WEEKDAY(DATE($G$1,1,30),2),"Mo","Di","Mi","Do","Fr","Sa","So")&amp;IFERROR(CHAR(10)&amp;VLOOKUP(DATE($G$1,1,30),Feiertage!$A$2:$B$13,2,FALSE),""),"")</f>
        <v>d Fr</v>
      </c>
      <c r="B33" s="6" t="str">
        <f>IF(MONTH(DATE($G$1,2,30))=2,TEXT(DATE($G$1,2,30),"d")&amp;" "&amp;CHOOSE(WEEKDAY(DATE($G$1,2,30),2),"Mo","Di","Mi","Do","Fr","Sa","So")&amp;IFERROR(CHAR(10)&amp;VLOOKUP(DATE($G$1,2,30),Feiertage!$A$2:$B$13,2,FALSE),""),"")</f>
        <v/>
      </c>
      <c r="C33" s="6" t="str">
        <f>IF(MONTH(DATE($G$1,3,30))=3,TEXT(DATE($G$1,3,30),"d")&amp;" "&amp;CHOOSE(WEEKDAY(DATE($G$1,3,30),2),"Mo","Di","Mi","Do","Fr","Sa","So")&amp;IFERROR(CHAR(10)&amp;VLOOKUP(DATE($G$1,3,30),Feiertage!$A$2:$B$13,2,FALSE),""),"")</f>
        <v>d Mo</v>
      </c>
      <c r="D33" s="6" t="str">
        <f>IF(MONTH(DATE($G$1,4,30))=4,TEXT(DATE($G$1,4,30),"d")&amp;" "&amp;CHOOSE(WEEKDAY(DATE($G$1,4,30),2),"Mo","Di","Mi","Do","Fr","Sa","So")&amp;IFERROR(CHAR(10)&amp;VLOOKUP(DATE($G$1,4,30),Feiertage!$A$2:$B$13,2,FALSE),""),"")</f>
        <v>d Do</v>
      </c>
      <c r="E33" s="6" t="str">
        <f>IF(MONTH(DATE($G$1,5,30))=5,TEXT(DATE($G$1,5,30),"d")&amp;" "&amp;CHOOSE(WEEKDAY(DATE($G$1,5,30),2),"Mo","Di","Mi","Do","Fr","Sa","So")&amp;IFERROR(CHAR(10)&amp;VLOOKUP(DATE($G$1,5,30),Feiertage!$A$2:$B$13,2,FALSE),""),"")</f>
        <v>d Sa</v>
      </c>
      <c r="F33" s="7" t="str">
        <f>IF(MONTH(DATE($G$1,6,30))=6,TEXT(DATE($G$1,6,30),"d")&amp;" "&amp;CHOOSE(WEEKDAY(DATE($G$1,6,30),2),"Mo","Di","Mi","Do","Fr","Sa","So")&amp;IFERROR(CHAR(10)&amp;VLOOKUP(DATE($G$1,6,30),Feiertage!$A$2:$B$13,2,FALSE),""),"")</f>
        <v>d Di</v>
      </c>
    </row>
    <row r="34" spans="1:6" ht="23.05" customHeight="1" x14ac:dyDescent="0.55000000000000004">
      <c r="A34" s="5" t="str">
        <f>IF(MONTH(DATE($G$1,1,31))=1,TEXT(DATE($G$1,1,31),"d")&amp;" "&amp;CHOOSE(WEEKDAY(DATE($G$1,1,31),2),"Mo","Di","Mi","Do","Fr","Sa","So")&amp;IFERROR(CHAR(10)&amp;VLOOKUP(DATE($G$1,1,31),Feiertage!$A$2:$B$13,2,FALSE),""),"")</f>
        <v>d Sa</v>
      </c>
      <c r="B34" s="6" t="str">
        <f>IF(MONTH(DATE($G$1,2,31))=2,TEXT(DATE($G$1,2,31),"d")&amp;" "&amp;CHOOSE(WEEKDAY(DATE($G$1,2,31),2),"Mo","Di","Mi","Do","Fr","Sa","So")&amp;IFERROR(CHAR(10)&amp;VLOOKUP(DATE($G$1,2,31),Feiertage!$A$2:$B$13,2,FALSE),""),"")</f>
        <v/>
      </c>
      <c r="C34" s="6" t="str">
        <f>IF(MONTH(DATE($G$1,3,31))=3,TEXT(DATE($G$1,3,31),"d")&amp;" "&amp;CHOOSE(WEEKDAY(DATE($G$1,3,31),2),"Mo","Di","Mi","Do","Fr","Sa","So")&amp;IFERROR(CHAR(10)&amp;VLOOKUP(DATE($G$1,3,31),Feiertage!$A$2:$B$13,2,FALSE),""),"")</f>
        <v>d Di</v>
      </c>
      <c r="D34" s="6" t="str">
        <f>IF(MONTH(DATE($G$1,4,31))=4,TEXT(DATE($G$1,4,31),"d")&amp;" "&amp;CHOOSE(WEEKDAY(DATE($G$1,4,31),2),"Mo","Di","Mi","Do","Fr","Sa","So")&amp;IFERROR(CHAR(10)&amp;VLOOKUP(DATE($G$1,4,31),Feiertage!$A$2:$B$13,2,FALSE),""),"")</f>
        <v/>
      </c>
      <c r="E34" s="6" t="str">
        <f>IF(MONTH(DATE($G$1,5,31))=5,TEXT(DATE($G$1,5,31),"d")&amp;" "&amp;CHOOSE(WEEKDAY(DATE($G$1,5,31),2),"Mo","Di","Mi","Do","Fr","Sa","So")&amp;IFERROR(CHAR(10)&amp;VLOOKUP(DATE($G$1,5,31),Feiertage!$A$2:$B$13,2,FALSE),""),"")</f>
        <v>d So</v>
      </c>
      <c r="F34" s="7" t="str">
        <f>IF(MONTH(DATE($G$1,6,31))=6,TEXT(DATE($G$1,6,31),"d")&amp;" "&amp;CHOOSE(WEEKDAY(DATE($G$1,6,31),2),"Mo","Di","Mi","Do","Fr","Sa","So")&amp;IFERROR(CHAR(10)&amp;VLOOKUP(DATE($G$1,6,31),Feiertage!$A$2:$B$13,2,FALSE),""),"")</f>
        <v/>
      </c>
    </row>
    <row r="40" spans="1:6" ht="24" customHeight="1" x14ac:dyDescent="0.55000000000000004">
      <c r="A40" s="2" t="s">
        <v>7</v>
      </c>
      <c r="B40" s="3" t="s">
        <v>8</v>
      </c>
      <c r="C40" s="3" t="s">
        <v>9</v>
      </c>
      <c r="D40" s="3" t="s">
        <v>10</v>
      </c>
      <c r="E40" s="3" t="s">
        <v>11</v>
      </c>
      <c r="F40" s="4" t="s">
        <v>12</v>
      </c>
    </row>
    <row r="41" spans="1:6" ht="23.05" customHeight="1" x14ac:dyDescent="0.55000000000000004">
      <c r="A41" s="5" t="str">
        <f>IF(MONTH(DATE($G$1,7,1))=7,TEXT(DATE($G$1,7,1),"d")&amp;" "&amp;CHOOSE(WEEKDAY(DATE($G$1,7,1),2),"Mo","Di","Mi","Do","Fr","Sa","So")&amp;IFERROR(CHAR(10)&amp;VLOOKUP(DATE($G$1,7,1),Feiertage!$A$2:$B$13,2,FALSE),""),"")</f>
        <v>d Mi</v>
      </c>
      <c r="B41" s="6" t="str">
        <f>IF(MONTH(DATE($G$1,8,1))=8,TEXT(DATE($G$1,8,1),"d")&amp;" "&amp;CHOOSE(WEEKDAY(DATE($G$1,8,1),2),"Mo","Di","Mi","Do","Fr","Sa","So")&amp;IFERROR(CHAR(10)&amp;VLOOKUP(DATE($G$1,8,1),Feiertage!$A$2:$B$13,2,FALSE),""),"")</f>
        <v>d Sa</v>
      </c>
      <c r="C41" s="6" t="str">
        <f>IF(MONTH(DATE($G$1,9,1))=9,TEXT(DATE($G$1,9,1),"d")&amp;" "&amp;CHOOSE(WEEKDAY(DATE($G$1,9,1),2),"Mo","Di","Mi","Do","Fr","Sa","So")&amp;IFERROR(CHAR(10)&amp;VLOOKUP(DATE($G$1,9,1),Feiertage!$A$2:$B$13,2,FALSE),""),"")</f>
        <v>d Di</v>
      </c>
      <c r="D41" s="6" t="str">
        <f>IF(MONTH(DATE($G$1,10,1))=10,TEXT(DATE($G$1,10,1),"d")&amp;" "&amp;CHOOSE(WEEKDAY(DATE($G$1,10,1),2),"Mo","Di","Mi","Do","Fr","Sa","So")&amp;IFERROR(CHAR(10)&amp;VLOOKUP(DATE($G$1,10,1),Feiertage!$A$2:$B$13,2,FALSE),""),"")</f>
        <v>d Do</v>
      </c>
      <c r="E41" s="6" t="str">
        <f>IF(MONTH(DATE($G$1,11,1))=11,TEXT(DATE($G$1,11,1),"d")&amp;" "&amp;CHOOSE(WEEKDAY(DATE($G$1,11,1),2),"Mo","Di","Mi","Do","Fr","Sa","So")&amp;IFERROR(CHAR(10)&amp;VLOOKUP(DATE($G$1,11,1),Feiertage!$A$2:$B$13,2,FALSE),""),"")</f>
        <v>d So</v>
      </c>
      <c r="F41" s="7" t="str">
        <f>IF(MONTH(DATE($G$1,12,1))=12,TEXT(DATE($G$1,12,1),"d")&amp;" "&amp;CHOOSE(WEEKDAY(DATE($G$1,12,1),2),"Mo","Di","Mi","Do","Fr","Sa","So")&amp;IFERROR(CHAR(10)&amp;VLOOKUP(DATE($G$1,12,1),Feiertage!$A$2:$B$13,2,FALSE),""),"")</f>
        <v>d Di</v>
      </c>
    </row>
    <row r="42" spans="1:6" ht="23.05" customHeight="1" x14ac:dyDescent="0.55000000000000004">
      <c r="A42" s="5" t="str">
        <f>IF(MONTH(DATE($G$1,7,2))=7,TEXT(DATE($G$1,7,2),"d")&amp;" "&amp;CHOOSE(WEEKDAY(DATE($G$1,7,2),2),"Mo","Di","Mi","Do","Fr","Sa","So")&amp;IFERROR(CHAR(10)&amp;VLOOKUP(DATE($G$1,7,2),Feiertage!$A$2:$B$13,2,FALSE),""),"")</f>
        <v>d Do</v>
      </c>
      <c r="B42" s="6" t="str">
        <f>IF(MONTH(DATE($G$1,8,2))=8,TEXT(DATE($G$1,8,2),"d")&amp;" "&amp;CHOOSE(WEEKDAY(DATE($G$1,8,2),2),"Mo","Di","Mi","Do","Fr","Sa","So")&amp;IFERROR(CHAR(10)&amp;VLOOKUP(DATE($G$1,8,2),Feiertage!$A$2:$B$13,2,FALSE),""),"")</f>
        <v>d So</v>
      </c>
      <c r="C42" s="6" t="str">
        <f>IF(MONTH(DATE($G$1,9,2))=9,TEXT(DATE($G$1,9,2),"d")&amp;" "&amp;CHOOSE(WEEKDAY(DATE($G$1,9,2),2),"Mo","Di","Mi","Do","Fr","Sa","So")&amp;IFERROR(CHAR(10)&amp;VLOOKUP(DATE($G$1,9,2),Feiertage!$A$2:$B$13,2,FALSE),""),"")</f>
        <v>d Mi</v>
      </c>
      <c r="D42" s="6" t="str">
        <f>IF(MONTH(DATE($G$1,10,2))=10,TEXT(DATE($G$1,10,2),"d")&amp;" "&amp;CHOOSE(WEEKDAY(DATE($G$1,10,2),2),"Mo","Di","Mi","Do","Fr","Sa","So")&amp;IFERROR(CHAR(10)&amp;VLOOKUP(DATE($G$1,10,2),Feiertage!$A$2:$B$13,2,FALSE),""),"")</f>
        <v>d Fr</v>
      </c>
      <c r="E42" s="6" t="str">
        <f>IF(MONTH(DATE($G$1,11,2))=11,TEXT(DATE($G$1,11,2),"d")&amp;" "&amp;CHOOSE(WEEKDAY(DATE($G$1,11,2),2),"Mo","Di","Mi","Do","Fr","Sa","So")&amp;IFERROR(CHAR(10)&amp;VLOOKUP(DATE($G$1,11,2),Feiertage!$A$2:$B$13,2,FALSE),""),"")</f>
        <v>d Mo</v>
      </c>
      <c r="F42" s="7" t="str">
        <f>IF(MONTH(DATE($G$1,12,2))=12,TEXT(DATE($G$1,12,2),"d")&amp;" "&amp;CHOOSE(WEEKDAY(DATE($G$1,12,2),2),"Mo","Di","Mi","Do","Fr","Sa","So")&amp;IFERROR(CHAR(10)&amp;VLOOKUP(DATE($G$1,12,2),Feiertage!$A$2:$B$13,2,FALSE),""),"")</f>
        <v>d Mi</v>
      </c>
    </row>
    <row r="43" spans="1:6" ht="23.05" customHeight="1" x14ac:dyDescent="0.55000000000000004">
      <c r="A43" s="5" t="str">
        <f>IF(MONTH(DATE($G$1,7,3))=7,TEXT(DATE($G$1,7,3),"d")&amp;" "&amp;CHOOSE(WEEKDAY(DATE($G$1,7,3),2),"Mo","Di","Mi","Do","Fr","Sa","So")&amp;IFERROR(CHAR(10)&amp;VLOOKUP(DATE($G$1,7,3),Feiertage!$A$2:$B$13,2,FALSE),""),"")</f>
        <v>d Fr</v>
      </c>
      <c r="B43" s="6" t="str">
        <f>IF(MONTH(DATE($G$1,8,3))=8,TEXT(DATE($G$1,8,3),"d")&amp;" "&amp;CHOOSE(WEEKDAY(DATE($G$1,8,3),2),"Mo","Di","Mi","Do","Fr","Sa","So")&amp;IFERROR(CHAR(10)&amp;VLOOKUP(DATE($G$1,8,3),Feiertage!$A$2:$B$13,2,FALSE),""),"")</f>
        <v>d Mo</v>
      </c>
      <c r="C43" s="6" t="str">
        <f>IF(MONTH(DATE($G$1,9,3))=9,TEXT(DATE($G$1,9,3),"d")&amp;" "&amp;CHOOSE(WEEKDAY(DATE($G$1,9,3),2),"Mo","Di","Mi","Do","Fr","Sa","So")&amp;IFERROR(CHAR(10)&amp;VLOOKUP(DATE($G$1,9,3),Feiertage!$A$2:$B$13,2,FALSE),""),"")</f>
        <v>d Do</v>
      </c>
      <c r="D43" s="6" t="str">
        <f>IF(MONTH(DATE($G$1,10,3))=10,TEXT(DATE($G$1,10,3),"d")&amp;" "&amp;CHOOSE(WEEKDAY(DATE($G$1,10,3),2),"Mo","Di","Mi","Do","Fr","Sa","So")&amp;IFERROR(CHAR(10)&amp;VLOOKUP(DATE($G$1,10,3),Feiertage!$A$2:$B$13,2,FALSE),""),"")</f>
        <v>d Sa
Tag der Deutschen Einheit</v>
      </c>
      <c r="E43" s="6" t="str">
        <f>IF(MONTH(DATE($G$1,11,3))=11,TEXT(DATE($G$1,11,3),"d")&amp;" "&amp;CHOOSE(WEEKDAY(DATE($G$1,11,3),2),"Mo","Di","Mi","Do","Fr","Sa","So")&amp;IFERROR(CHAR(10)&amp;VLOOKUP(DATE($G$1,11,3),Feiertage!$A$2:$B$13,2,FALSE),""),"")</f>
        <v>d Di</v>
      </c>
      <c r="F43" s="7" t="str">
        <f>IF(MONTH(DATE($G$1,12,3))=12,TEXT(DATE($G$1,12,3),"d")&amp;" "&amp;CHOOSE(WEEKDAY(DATE($G$1,12,3),2),"Mo","Di","Mi","Do","Fr","Sa","So")&amp;IFERROR(CHAR(10)&amp;VLOOKUP(DATE($G$1,12,3),Feiertage!$A$2:$B$13,2,FALSE),""),"")</f>
        <v>d Do</v>
      </c>
    </row>
    <row r="44" spans="1:6" ht="23.05" customHeight="1" x14ac:dyDescent="0.55000000000000004">
      <c r="A44" s="5" t="str">
        <f>IF(MONTH(DATE($G$1,7,4))=7,TEXT(DATE($G$1,7,4),"d")&amp;" "&amp;CHOOSE(WEEKDAY(DATE($G$1,7,4),2),"Mo","Di","Mi","Do","Fr","Sa","So")&amp;IFERROR(CHAR(10)&amp;VLOOKUP(DATE($G$1,7,4),Feiertage!$A$2:$B$13,2,FALSE),""),"")</f>
        <v>d Sa</v>
      </c>
      <c r="B44" s="6" t="str">
        <f>IF(MONTH(DATE($G$1,8,4))=8,TEXT(DATE($G$1,8,4),"d")&amp;" "&amp;CHOOSE(WEEKDAY(DATE($G$1,8,4),2),"Mo","Di","Mi","Do","Fr","Sa","So")&amp;IFERROR(CHAR(10)&amp;VLOOKUP(DATE($G$1,8,4),Feiertage!$A$2:$B$13,2,FALSE),""),"")</f>
        <v>d Di</v>
      </c>
      <c r="C44" s="6" t="str">
        <f>IF(MONTH(DATE($G$1,9,4))=9,TEXT(DATE($G$1,9,4),"d")&amp;" "&amp;CHOOSE(WEEKDAY(DATE($G$1,9,4),2),"Mo","Di","Mi","Do","Fr","Sa","So")&amp;IFERROR(CHAR(10)&amp;VLOOKUP(DATE($G$1,9,4),Feiertage!$A$2:$B$13,2,FALSE),""),"")</f>
        <v>d Fr</v>
      </c>
      <c r="D44" s="6" t="str">
        <f>IF(MONTH(DATE($G$1,10,4))=10,TEXT(DATE($G$1,10,4),"d")&amp;" "&amp;CHOOSE(WEEKDAY(DATE($G$1,10,4),2),"Mo","Di","Mi","Do","Fr","Sa","So")&amp;IFERROR(CHAR(10)&amp;VLOOKUP(DATE($G$1,10,4),Feiertage!$A$2:$B$13,2,FALSE),""),"")</f>
        <v>d So</v>
      </c>
      <c r="E44" s="6" t="str">
        <f>IF(MONTH(DATE($G$1,11,4))=11,TEXT(DATE($G$1,11,4),"d")&amp;" "&amp;CHOOSE(WEEKDAY(DATE($G$1,11,4),2),"Mo","Di","Mi","Do","Fr","Sa","So")&amp;IFERROR(CHAR(10)&amp;VLOOKUP(DATE($G$1,11,4),Feiertage!$A$2:$B$13,2,FALSE),""),"")</f>
        <v>d Mi</v>
      </c>
      <c r="F44" s="7" t="str">
        <f>IF(MONTH(DATE($G$1,12,4))=12,TEXT(DATE($G$1,12,4),"d")&amp;" "&amp;CHOOSE(WEEKDAY(DATE($G$1,12,4),2),"Mo","Di","Mi","Do","Fr","Sa","So")&amp;IFERROR(CHAR(10)&amp;VLOOKUP(DATE($G$1,12,4),Feiertage!$A$2:$B$13,2,FALSE),""),"")</f>
        <v>d Fr</v>
      </c>
    </row>
    <row r="45" spans="1:6" ht="23.05" customHeight="1" x14ac:dyDescent="0.55000000000000004">
      <c r="A45" s="5" t="str">
        <f>IF(MONTH(DATE($G$1,7,5))=7,TEXT(DATE($G$1,7,5),"d")&amp;" "&amp;CHOOSE(WEEKDAY(DATE($G$1,7,5),2),"Mo","Di","Mi","Do","Fr","Sa","So")&amp;IFERROR(CHAR(10)&amp;VLOOKUP(DATE($G$1,7,5),Feiertage!$A$2:$B$13,2,FALSE),""),"")</f>
        <v>d So</v>
      </c>
      <c r="B45" s="6" t="str">
        <f>IF(MONTH(DATE($G$1,8,5))=8,TEXT(DATE($G$1,8,5),"d")&amp;" "&amp;CHOOSE(WEEKDAY(DATE($G$1,8,5),2),"Mo","Di","Mi","Do","Fr","Sa","So")&amp;IFERROR(CHAR(10)&amp;VLOOKUP(DATE($G$1,8,5),Feiertage!$A$2:$B$13,2,FALSE),""),"")</f>
        <v>d Mi</v>
      </c>
      <c r="C45" s="6" t="str">
        <f>IF(MONTH(DATE($G$1,9,5))=9,TEXT(DATE($G$1,9,5),"d")&amp;" "&amp;CHOOSE(WEEKDAY(DATE($G$1,9,5),2),"Mo","Di","Mi","Do","Fr","Sa","So")&amp;IFERROR(CHAR(10)&amp;VLOOKUP(DATE($G$1,9,5),Feiertage!$A$2:$B$13,2,FALSE),""),"")</f>
        <v>d Sa</v>
      </c>
      <c r="D45" s="6" t="str">
        <f>IF(MONTH(DATE($G$1,10,5))=10,TEXT(DATE($G$1,10,5),"d")&amp;" "&amp;CHOOSE(WEEKDAY(DATE($G$1,10,5),2),"Mo","Di","Mi","Do","Fr","Sa","So")&amp;IFERROR(CHAR(10)&amp;VLOOKUP(DATE($G$1,10,5),Feiertage!$A$2:$B$13,2,FALSE),""),"")</f>
        <v>d Mo</v>
      </c>
      <c r="E45" s="6" t="str">
        <f>IF(MONTH(DATE($G$1,11,5))=11,TEXT(DATE($G$1,11,5),"d")&amp;" "&amp;CHOOSE(WEEKDAY(DATE($G$1,11,5),2),"Mo","Di","Mi","Do","Fr","Sa","So")&amp;IFERROR(CHAR(10)&amp;VLOOKUP(DATE($G$1,11,5),Feiertage!$A$2:$B$13,2,FALSE),""),"")</f>
        <v>d Do</v>
      </c>
      <c r="F45" s="7" t="str">
        <f>IF(MONTH(DATE($G$1,12,5))=12,TEXT(DATE($G$1,12,5),"d")&amp;" "&amp;CHOOSE(WEEKDAY(DATE($G$1,12,5),2),"Mo","Di","Mi","Do","Fr","Sa","So")&amp;IFERROR(CHAR(10)&amp;VLOOKUP(DATE($G$1,12,5),Feiertage!$A$2:$B$13,2,FALSE),""),"")</f>
        <v>d Sa</v>
      </c>
    </row>
    <row r="46" spans="1:6" ht="23.05" customHeight="1" x14ac:dyDescent="0.55000000000000004">
      <c r="A46" s="5" t="str">
        <f>IF(MONTH(DATE($G$1,7,6))=7,TEXT(DATE($G$1,7,6),"d")&amp;" "&amp;CHOOSE(WEEKDAY(DATE($G$1,7,6),2),"Mo","Di","Mi","Do","Fr","Sa","So")&amp;IFERROR(CHAR(10)&amp;VLOOKUP(DATE($G$1,7,6),Feiertage!$A$2:$B$13,2,FALSE),""),"")</f>
        <v>d Mo</v>
      </c>
      <c r="B46" s="6" t="str">
        <f>IF(MONTH(DATE($G$1,8,6))=8,TEXT(DATE($G$1,8,6),"d")&amp;" "&amp;CHOOSE(WEEKDAY(DATE($G$1,8,6),2),"Mo","Di","Mi","Do","Fr","Sa","So")&amp;IFERROR(CHAR(10)&amp;VLOOKUP(DATE($G$1,8,6),Feiertage!$A$2:$B$13,2,FALSE),""),"")</f>
        <v>d Do</v>
      </c>
      <c r="C46" s="6" t="str">
        <f>IF(MONTH(DATE($G$1,9,6))=9,TEXT(DATE($G$1,9,6),"d")&amp;" "&amp;CHOOSE(WEEKDAY(DATE($G$1,9,6),2),"Mo","Di","Mi","Do","Fr","Sa","So")&amp;IFERROR(CHAR(10)&amp;VLOOKUP(DATE($G$1,9,6),Feiertage!$A$2:$B$13,2,FALSE),""),"")</f>
        <v>d So</v>
      </c>
      <c r="D46" s="6" t="str">
        <f>IF(MONTH(DATE($G$1,10,6))=10,TEXT(DATE($G$1,10,6),"d")&amp;" "&amp;CHOOSE(WEEKDAY(DATE($G$1,10,6),2),"Mo","Di","Mi","Do","Fr","Sa","So")&amp;IFERROR(CHAR(10)&amp;VLOOKUP(DATE($G$1,10,6),Feiertage!$A$2:$B$13,2,FALSE),""),"")</f>
        <v>d Di</v>
      </c>
      <c r="E46" s="6" t="str">
        <f>IF(MONTH(DATE($G$1,11,6))=11,TEXT(DATE($G$1,11,6),"d")&amp;" "&amp;CHOOSE(WEEKDAY(DATE($G$1,11,6),2),"Mo","Di","Mi","Do","Fr","Sa","So")&amp;IFERROR(CHAR(10)&amp;VLOOKUP(DATE($G$1,11,6),Feiertage!$A$2:$B$13,2,FALSE),""),"")</f>
        <v>d Fr</v>
      </c>
      <c r="F46" s="7" t="str">
        <f>IF(MONTH(DATE($G$1,12,6))=12,TEXT(DATE($G$1,12,6),"d")&amp;" "&amp;CHOOSE(WEEKDAY(DATE($G$1,12,6),2),"Mo","Di","Mi","Do","Fr","Sa","So")&amp;IFERROR(CHAR(10)&amp;VLOOKUP(DATE($G$1,12,6),Feiertage!$A$2:$B$13,2,FALSE),""),"")</f>
        <v>d So</v>
      </c>
    </row>
    <row r="47" spans="1:6" ht="23.05" customHeight="1" x14ac:dyDescent="0.55000000000000004">
      <c r="A47" s="5" t="str">
        <f>IF(MONTH(DATE($G$1,7,7))=7,TEXT(DATE($G$1,7,7),"d")&amp;" "&amp;CHOOSE(WEEKDAY(DATE($G$1,7,7),2),"Mo","Di","Mi","Do","Fr","Sa","So")&amp;IFERROR(CHAR(10)&amp;VLOOKUP(DATE($G$1,7,7),Feiertage!$A$2:$B$13,2,FALSE),""),"")</f>
        <v>d Di</v>
      </c>
      <c r="B47" s="6" t="str">
        <f>IF(MONTH(DATE($G$1,8,7))=8,TEXT(DATE($G$1,8,7),"d")&amp;" "&amp;CHOOSE(WEEKDAY(DATE($G$1,8,7),2),"Mo","Di","Mi","Do","Fr","Sa","So")&amp;IFERROR(CHAR(10)&amp;VLOOKUP(DATE($G$1,8,7),Feiertage!$A$2:$B$13,2,FALSE),""),"")</f>
        <v>d Fr</v>
      </c>
      <c r="C47" s="6" t="str">
        <f>IF(MONTH(DATE($G$1,9,7))=9,TEXT(DATE($G$1,9,7),"d")&amp;" "&amp;CHOOSE(WEEKDAY(DATE($G$1,9,7),2),"Mo","Di","Mi","Do","Fr","Sa","So")&amp;IFERROR(CHAR(10)&amp;VLOOKUP(DATE($G$1,9,7),Feiertage!$A$2:$B$13,2,FALSE),""),"")</f>
        <v>d Mo</v>
      </c>
      <c r="D47" s="6" t="str">
        <f>IF(MONTH(DATE($G$1,10,7))=10,TEXT(DATE($G$1,10,7),"d")&amp;" "&amp;CHOOSE(WEEKDAY(DATE($G$1,10,7),2),"Mo","Di","Mi","Do","Fr","Sa","So")&amp;IFERROR(CHAR(10)&amp;VLOOKUP(DATE($G$1,10,7),Feiertage!$A$2:$B$13,2,FALSE),""),"")</f>
        <v>d Mi</v>
      </c>
      <c r="E47" s="6" t="str">
        <f>IF(MONTH(DATE($G$1,11,7))=11,TEXT(DATE($G$1,11,7),"d")&amp;" "&amp;CHOOSE(WEEKDAY(DATE($G$1,11,7),2),"Mo","Di","Mi","Do","Fr","Sa","So")&amp;IFERROR(CHAR(10)&amp;VLOOKUP(DATE($G$1,11,7),Feiertage!$A$2:$B$13,2,FALSE),""),"")</f>
        <v>d Sa</v>
      </c>
      <c r="F47" s="7" t="str">
        <f>IF(MONTH(DATE($G$1,12,7))=12,TEXT(DATE($G$1,12,7),"d")&amp;" "&amp;CHOOSE(WEEKDAY(DATE($G$1,12,7),2),"Mo","Di","Mi","Do","Fr","Sa","So")&amp;IFERROR(CHAR(10)&amp;VLOOKUP(DATE($G$1,12,7),Feiertage!$A$2:$B$13,2,FALSE),""),"")</f>
        <v>d Mo</v>
      </c>
    </row>
    <row r="48" spans="1:6" ht="23.05" customHeight="1" x14ac:dyDescent="0.55000000000000004">
      <c r="A48" s="5" t="str">
        <f>IF(MONTH(DATE($G$1,7,8))=7,TEXT(DATE($G$1,7,8),"d")&amp;" "&amp;CHOOSE(WEEKDAY(DATE($G$1,7,8),2),"Mo","Di","Mi","Do","Fr","Sa","So")&amp;IFERROR(CHAR(10)&amp;VLOOKUP(DATE($G$1,7,8),Feiertage!$A$2:$B$13,2,FALSE),""),"")</f>
        <v>d Mi</v>
      </c>
      <c r="B48" s="6" t="str">
        <f>IF(MONTH(DATE($G$1,8,8))=8,TEXT(DATE($G$1,8,8),"d")&amp;" "&amp;CHOOSE(WEEKDAY(DATE($G$1,8,8),2),"Mo","Di","Mi","Do","Fr","Sa","So")&amp;IFERROR(CHAR(10)&amp;VLOOKUP(DATE($G$1,8,8),Feiertage!$A$2:$B$13,2,FALSE),""),"")</f>
        <v>d Sa</v>
      </c>
      <c r="C48" s="6" t="str">
        <f>IF(MONTH(DATE($G$1,9,8))=9,TEXT(DATE($G$1,9,8),"d")&amp;" "&amp;CHOOSE(WEEKDAY(DATE($G$1,9,8),2),"Mo","Di","Mi","Do","Fr","Sa","So")&amp;IFERROR(CHAR(10)&amp;VLOOKUP(DATE($G$1,9,8),Feiertage!$A$2:$B$13,2,FALSE),""),"")</f>
        <v>d Di</v>
      </c>
      <c r="D48" s="6" t="str">
        <f>IF(MONTH(DATE($G$1,10,8))=10,TEXT(DATE($G$1,10,8),"d")&amp;" "&amp;CHOOSE(WEEKDAY(DATE($G$1,10,8),2),"Mo","Di","Mi","Do","Fr","Sa","So")&amp;IFERROR(CHAR(10)&amp;VLOOKUP(DATE($G$1,10,8),Feiertage!$A$2:$B$13,2,FALSE),""),"")</f>
        <v>d Do</v>
      </c>
      <c r="E48" s="6" t="str">
        <f>IF(MONTH(DATE($G$1,11,8))=11,TEXT(DATE($G$1,11,8),"d")&amp;" "&amp;CHOOSE(WEEKDAY(DATE($G$1,11,8),2),"Mo","Di","Mi","Do","Fr","Sa","So")&amp;IFERROR(CHAR(10)&amp;VLOOKUP(DATE($G$1,11,8),Feiertage!$A$2:$B$13,2,FALSE),""),"")</f>
        <v>d So</v>
      </c>
      <c r="F48" s="7" t="str">
        <f>IF(MONTH(DATE($G$1,12,8))=12,TEXT(DATE($G$1,12,8),"d")&amp;" "&amp;CHOOSE(WEEKDAY(DATE($G$1,12,8),2),"Mo","Di","Mi","Do","Fr","Sa","So")&amp;IFERROR(CHAR(10)&amp;VLOOKUP(DATE($G$1,12,8),Feiertage!$A$2:$B$13,2,FALSE),""),"")</f>
        <v>d Di</v>
      </c>
    </row>
    <row r="49" spans="1:6" ht="23.05" customHeight="1" x14ac:dyDescent="0.55000000000000004">
      <c r="A49" s="5" t="str">
        <f>IF(MONTH(DATE($G$1,7,9))=7,TEXT(DATE($G$1,7,9),"d")&amp;" "&amp;CHOOSE(WEEKDAY(DATE($G$1,7,9),2),"Mo","Di","Mi","Do","Fr","Sa","So")&amp;IFERROR(CHAR(10)&amp;VLOOKUP(DATE($G$1,7,9),Feiertage!$A$2:$B$13,2,FALSE),""),"")</f>
        <v>d Do</v>
      </c>
      <c r="B49" s="6" t="str">
        <f>IF(MONTH(DATE($G$1,8,9))=8,TEXT(DATE($G$1,8,9),"d")&amp;" "&amp;CHOOSE(WEEKDAY(DATE($G$1,8,9),2),"Mo","Di","Mi","Do","Fr","Sa","So")&amp;IFERROR(CHAR(10)&amp;VLOOKUP(DATE($G$1,8,9),Feiertage!$A$2:$B$13,2,FALSE),""),"")</f>
        <v>d So</v>
      </c>
      <c r="C49" s="6" t="str">
        <f>IF(MONTH(DATE($G$1,9,9))=9,TEXT(DATE($G$1,9,9),"d")&amp;" "&amp;CHOOSE(WEEKDAY(DATE($G$1,9,9),2),"Mo","Di","Mi","Do","Fr","Sa","So")&amp;IFERROR(CHAR(10)&amp;VLOOKUP(DATE($G$1,9,9),Feiertage!$A$2:$B$13,2,FALSE),""),"")</f>
        <v>d Mi</v>
      </c>
      <c r="D49" s="6" t="str">
        <f>IF(MONTH(DATE($G$1,10,9))=10,TEXT(DATE($G$1,10,9),"d")&amp;" "&amp;CHOOSE(WEEKDAY(DATE($G$1,10,9),2),"Mo","Di","Mi","Do","Fr","Sa","So")&amp;IFERROR(CHAR(10)&amp;VLOOKUP(DATE($G$1,10,9),Feiertage!$A$2:$B$13,2,FALSE),""),"")</f>
        <v>d Fr</v>
      </c>
      <c r="E49" s="6" t="str">
        <f>IF(MONTH(DATE($G$1,11,9))=11,TEXT(DATE($G$1,11,9),"d")&amp;" "&amp;CHOOSE(WEEKDAY(DATE($G$1,11,9),2),"Mo","Di","Mi","Do","Fr","Sa","So")&amp;IFERROR(CHAR(10)&amp;VLOOKUP(DATE($G$1,11,9),Feiertage!$A$2:$B$13,2,FALSE),""),"")</f>
        <v>d Mo</v>
      </c>
      <c r="F49" s="7" t="str">
        <f>IF(MONTH(DATE($G$1,12,9))=12,TEXT(DATE($G$1,12,9),"d")&amp;" "&amp;CHOOSE(WEEKDAY(DATE($G$1,12,9),2),"Mo","Di","Mi","Do","Fr","Sa","So")&amp;IFERROR(CHAR(10)&amp;VLOOKUP(DATE($G$1,12,9),Feiertage!$A$2:$B$13,2,FALSE),""),"")</f>
        <v>d Mi</v>
      </c>
    </row>
    <row r="50" spans="1:6" ht="23.05" customHeight="1" x14ac:dyDescent="0.55000000000000004">
      <c r="A50" s="5" t="str">
        <f>IF(MONTH(DATE($G$1,7,10))=7,TEXT(DATE($G$1,7,10),"d")&amp;" "&amp;CHOOSE(WEEKDAY(DATE($G$1,7,10),2),"Mo","Di","Mi","Do","Fr","Sa","So")&amp;IFERROR(CHAR(10)&amp;VLOOKUP(DATE($G$1,7,10),Feiertage!$A$2:$B$13,2,FALSE),""),"")</f>
        <v>d Fr</v>
      </c>
      <c r="B50" s="6" t="str">
        <f>IF(MONTH(DATE($G$1,8,10))=8,TEXT(DATE($G$1,8,10),"d")&amp;" "&amp;CHOOSE(WEEKDAY(DATE($G$1,8,10),2),"Mo","Di","Mi","Do","Fr","Sa","So")&amp;IFERROR(CHAR(10)&amp;VLOOKUP(DATE($G$1,8,10),Feiertage!$A$2:$B$13,2,FALSE),""),"")</f>
        <v>d Mo</v>
      </c>
      <c r="C50" s="6" t="str">
        <f>IF(MONTH(DATE($G$1,9,10))=9,TEXT(DATE($G$1,9,10),"d")&amp;" "&amp;CHOOSE(WEEKDAY(DATE($G$1,9,10),2),"Mo","Di","Mi","Do","Fr","Sa","So")&amp;IFERROR(CHAR(10)&amp;VLOOKUP(DATE($G$1,9,10),Feiertage!$A$2:$B$13,2,FALSE),""),"")</f>
        <v>d Do</v>
      </c>
      <c r="D50" s="6" t="str">
        <f>IF(MONTH(DATE($G$1,10,10))=10,TEXT(DATE($G$1,10,10),"d")&amp;" "&amp;CHOOSE(WEEKDAY(DATE($G$1,10,10),2),"Mo","Di","Mi","Do","Fr","Sa","So")&amp;IFERROR(CHAR(10)&amp;VLOOKUP(DATE($G$1,10,10),Feiertage!$A$2:$B$13,2,FALSE),""),"")</f>
        <v>d Sa</v>
      </c>
      <c r="E50" s="6" t="str">
        <f>IF(MONTH(DATE($G$1,11,10))=11,TEXT(DATE($G$1,11,10),"d")&amp;" "&amp;CHOOSE(WEEKDAY(DATE($G$1,11,10),2),"Mo","Di","Mi","Do","Fr","Sa","So")&amp;IFERROR(CHAR(10)&amp;VLOOKUP(DATE($G$1,11,10),Feiertage!$A$2:$B$13,2,FALSE),""),"")</f>
        <v>d Di</v>
      </c>
      <c r="F50" s="7" t="str">
        <f>IF(MONTH(DATE($G$1,12,10))=12,TEXT(DATE($G$1,12,10),"d")&amp;" "&amp;CHOOSE(WEEKDAY(DATE($G$1,12,10),2),"Mo","Di","Mi","Do","Fr","Sa","So")&amp;IFERROR(CHAR(10)&amp;VLOOKUP(DATE($G$1,12,10),Feiertage!$A$2:$B$13,2,FALSE),""),"")</f>
        <v>d Do</v>
      </c>
    </row>
    <row r="51" spans="1:6" ht="23.05" customHeight="1" x14ac:dyDescent="0.55000000000000004">
      <c r="A51" s="5" t="str">
        <f>IF(MONTH(DATE($G$1,7,11))=7,TEXT(DATE($G$1,7,11),"d")&amp;" "&amp;CHOOSE(WEEKDAY(DATE($G$1,7,11),2),"Mo","Di","Mi","Do","Fr","Sa","So")&amp;IFERROR(CHAR(10)&amp;VLOOKUP(DATE($G$1,7,11),Feiertage!$A$2:$B$13,2,FALSE),""),"")</f>
        <v>d Sa</v>
      </c>
      <c r="B51" s="6" t="str">
        <f>IF(MONTH(DATE($G$1,8,11))=8,TEXT(DATE($G$1,8,11),"d")&amp;" "&amp;CHOOSE(WEEKDAY(DATE($G$1,8,11),2),"Mo","Di","Mi","Do","Fr","Sa","So")&amp;IFERROR(CHAR(10)&amp;VLOOKUP(DATE($G$1,8,11),Feiertage!$A$2:$B$13,2,FALSE),""),"")</f>
        <v>d Di</v>
      </c>
      <c r="C51" s="6" t="str">
        <f>IF(MONTH(DATE($G$1,9,11))=9,TEXT(DATE($G$1,9,11),"d")&amp;" "&amp;CHOOSE(WEEKDAY(DATE($G$1,9,11),2),"Mo","Di","Mi","Do","Fr","Sa","So")&amp;IFERROR(CHAR(10)&amp;VLOOKUP(DATE($G$1,9,11),Feiertage!$A$2:$B$13,2,FALSE),""),"")</f>
        <v>d Fr</v>
      </c>
      <c r="D51" s="6" t="str">
        <f>IF(MONTH(DATE($G$1,10,11))=10,TEXT(DATE($G$1,10,11),"d")&amp;" "&amp;CHOOSE(WEEKDAY(DATE($G$1,10,11),2),"Mo","Di","Mi","Do","Fr","Sa","So")&amp;IFERROR(CHAR(10)&amp;VLOOKUP(DATE($G$1,10,11),Feiertage!$A$2:$B$13,2,FALSE),""),"")</f>
        <v>d So</v>
      </c>
      <c r="E51" s="6" t="str">
        <f>IF(MONTH(DATE($G$1,11,11))=11,TEXT(DATE($G$1,11,11),"d")&amp;" "&amp;CHOOSE(WEEKDAY(DATE($G$1,11,11),2),"Mo","Di","Mi","Do","Fr","Sa","So")&amp;IFERROR(CHAR(10)&amp;VLOOKUP(DATE($G$1,11,11),Feiertage!$A$2:$B$13,2,FALSE),""),"")</f>
        <v>d Mi</v>
      </c>
      <c r="F51" s="7" t="str">
        <f>IF(MONTH(DATE($G$1,12,11))=12,TEXT(DATE($G$1,12,11),"d")&amp;" "&amp;CHOOSE(WEEKDAY(DATE($G$1,12,11),2),"Mo","Di","Mi","Do","Fr","Sa","So")&amp;IFERROR(CHAR(10)&amp;VLOOKUP(DATE($G$1,12,11),Feiertage!$A$2:$B$13,2,FALSE),""),"")</f>
        <v>d Fr</v>
      </c>
    </row>
    <row r="52" spans="1:6" ht="23.05" customHeight="1" x14ac:dyDescent="0.55000000000000004">
      <c r="A52" s="5" t="str">
        <f>IF(MONTH(DATE($G$1,7,12))=7,TEXT(DATE($G$1,7,12),"d")&amp;" "&amp;CHOOSE(WEEKDAY(DATE($G$1,7,12),2),"Mo","Di","Mi","Do","Fr","Sa","So")&amp;IFERROR(CHAR(10)&amp;VLOOKUP(DATE($G$1,7,12),Feiertage!$A$2:$B$13,2,FALSE),""),"")</f>
        <v>d So</v>
      </c>
      <c r="B52" s="6" t="str">
        <f>IF(MONTH(DATE($G$1,8,12))=8,TEXT(DATE($G$1,8,12),"d")&amp;" "&amp;CHOOSE(WEEKDAY(DATE($G$1,8,12),2),"Mo","Di","Mi","Do","Fr","Sa","So")&amp;IFERROR(CHAR(10)&amp;VLOOKUP(DATE($G$1,8,12),Feiertage!$A$2:$B$13,2,FALSE),""),"")</f>
        <v>d Mi</v>
      </c>
      <c r="C52" s="6" t="str">
        <f>IF(MONTH(DATE($G$1,9,12))=9,TEXT(DATE($G$1,9,12),"d")&amp;" "&amp;CHOOSE(WEEKDAY(DATE($G$1,9,12),2),"Mo","Di","Mi","Do","Fr","Sa","So")&amp;IFERROR(CHAR(10)&amp;VLOOKUP(DATE($G$1,9,12),Feiertage!$A$2:$B$13,2,FALSE),""),"")</f>
        <v>d Sa</v>
      </c>
      <c r="D52" s="6" t="str">
        <f>IF(MONTH(DATE($G$1,10,12))=10,TEXT(DATE($G$1,10,12),"d")&amp;" "&amp;CHOOSE(WEEKDAY(DATE($G$1,10,12),2),"Mo","Di","Mi","Do","Fr","Sa","So")&amp;IFERROR(CHAR(10)&amp;VLOOKUP(DATE($G$1,10,12),Feiertage!$A$2:$B$13,2,FALSE),""),"")</f>
        <v>d Mo</v>
      </c>
      <c r="E52" s="6" t="str">
        <f>IF(MONTH(DATE($G$1,11,12))=11,TEXT(DATE($G$1,11,12),"d")&amp;" "&amp;CHOOSE(WEEKDAY(DATE($G$1,11,12),2),"Mo","Di","Mi","Do","Fr","Sa","So")&amp;IFERROR(CHAR(10)&amp;VLOOKUP(DATE($G$1,11,12),Feiertage!$A$2:$B$13,2,FALSE),""),"")</f>
        <v>d Do</v>
      </c>
      <c r="F52" s="7" t="str">
        <f>IF(MONTH(DATE($G$1,12,12))=12,TEXT(DATE($G$1,12,12),"d")&amp;" "&amp;CHOOSE(WEEKDAY(DATE($G$1,12,12),2),"Mo","Di","Mi","Do","Fr","Sa","So")&amp;IFERROR(CHAR(10)&amp;VLOOKUP(DATE($G$1,12,12),Feiertage!$A$2:$B$13,2,FALSE),""),"")</f>
        <v>d Sa</v>
      </c>
    </row>
    <row r="53" spans="1:6" ht="23.05" customHeight="1" x14ac:dyDescent="0.55000000000000004">
      <c r="A53" s="5" t="str">
        <f>IF(MONTH(DATE($G$1,7,13))=7,TEXT(DATE($G$1,7,13),"d")&amp;" "&amp;CHOOSE(WEEKDAY(DATE($G$1,7,13),2),"Mo","Di","Mi","Do","Fr","Sa","So")&amp;IFERROR(CHAR(10)&amp;VLOOKUP(DATE($G$1,7,13),Feiertage!$A$2:$B$13,2,FALSE),""),"")</f>
        <v>d Mo</v>
      </c>
      <c r="B53" s="6" t="str">
        <f>IF(MONTH(DATE($G$1,8,13))=8,TEXT(DATE($G$1,8,13),"d")&amp;" "&amp;CHOOSE(WEEKDAY(DATE($G$1,8,13),2),"Mo","Di","Mi","Do","Fr","Sa","So")&amp;IFERROR(CHAR(10)&amp;VLOOKUP(DATE($G$1,8,13),Feiertage!$A$2:$B$13,2,FALSE),""),"")</f>
        <v>d Do</v>
      </c>
      <c r="C53" s="6" t="str">
        <f>IF(MONTH(DATE($G$1,9,13))=9,TEXT(DATE($G$1,9,13),"d")&amp;" "&amp;CHOOSE(WEEKDAY(DATE($G$1,9,13),2),"Mo","Di","Mi","Do","Fr","Sa","So")&amp;IFERROR(CHAR(10)&amp;VLOOKUP(DATE($G$1,9,13),Feiertage!$A$2:$B$13,2,FALSE),""),"")</f>
        <v>d So</v>
      </c>
      <c r="D53" s="6" t="str">
        <f>IF(MONTH(DATE($G$1,10,13))=10,TEXT(DATE($G$1,10,13),"d")&amp;" "&amp;CHOOSE(WEEKDAY(DATE($G$1,10,13),2),"Mo","Di","Mi","Do","Fr","Sa","So")&amp;IFERROR(CHAR(10)&amp;VLOOKUP(DATE($G$1,10,13),Feiertage!$A$2:$B$13,2,FALSE),""),"")</f>
        <v>d Di</v>
      </c>
      <c r="E53" s="6" t="str">
        <f>IF(MONTH(DATE($G$1,11,13))=11,TEXT(DATE($G$1,11,13),"d")&amp;" "&amp;CHOOSE(WEEKDAY(DATE($G$1,11,13),2),"Mo","Di","Mi","Do","Fr","Sa","So")&amp;IFERROR(CHAR(10)&amp;VLOOKUP(DATE($G$1,11,13),Feiertage!$A$2:$B$13,2,FALSE),""),"")</f>
        <v>d Fr</v>
      </c>
      <c r="F53" s="7" t="str">
        <f>IF(MONTH(DATE($G$1,12,13))=12,TEXT(DATE($G$1,12,13),"d")&amp;" "&amp;CHOOSE(WEEKDAY(DATE($G$1,12,13),2),"Mo","Di","Mi","Do","Fr","Sa","So")&amp;IFERROR(CHAR(10)&amp;VLOOKUP(DATE($G$1,12,13),Feiertage!$A$2:$B$13,2,FALSE),""),"")</f>
        <v>d So</v>
      </c>
    </row>
    <row r="54" spans="1:6" ht="23.05" customHeight="1" x14ac:dyDescent="0.55000000000000004">
      <c r="A54" s="5" t="str">
        <f>IF(MONTH(DATE($G$1,7,14))=7,TEXT(DATE($G$1,7,14),"d")&amp;" "&amp;CHOOSE(WEEKDAY(DATE($G$1,7,14),2),"Mo","Di","Mi","Do","Fr","Sa","So")&amp;IFERROR(CHAR(10)&amp;VLOOKUP(DATE($G$1,7,14),Feiertage!$A$2:$B$13,2,FALSE),""),"")</f>
        <v>d Di</v>
      </c>
      <c r="B54" s="6" t="str">
        <f>IF(MONTH(DATE($G$1,8,14))=8,TEXT(DATE($G$1,8,14),"d")&amp;" "&amp;CHOOSE(WEEKDAY(DATE($G$1,8,14),2),"Mo","Di","Mi","Do","Fr","Sa","So")&amp;IFERROR(CHAR(10)&amp;VLOOKUP(DATE($G$1,8,14),Feiertage!$A$2:$B$13,2,FALSE),""),"")</f>
        <v>d Fr</v>
      </c>
      <c r="C54" s="6" t="str">
        <f>IF(MONTH(DATE($G$1,9,14))=9,TEXT(DATE($G$1,9,14),"d")&amp;" "&amp;CHOOSE(WEEKDAY(DATE($G$1,9,14),2),"Mo","Di","Mi","Do","Fr","Sa","So")&amp;IFERROR(CHAR(10)&amp;VLOOKUP(DATE($G$1,9,14),Feiertage!$A$2:$B$13,2,FALSE),""),"")</f>
        <v>d Mo</v>
      </c>
      <c r="D54" s="6" t="str">
        <f>IF(MONTH(DATE($G$1,10,14))=10,TEXT(DATE($G$1,10,14),"d")&amp;" "&amp;CHOOSE(WEEKDAY(DATE($G$1,10,14),2),"Mo","Di","Mi","Do","Fr","Sa","So")&amp;IFERROR(CHAR(10)&amp;VLOOKUP(DATE($G$1,10,14),Feiertage!$A$2:$B$13,2,FALSE),""),"")</f>
        <v>d Mi</v>
      </c>
      <c r="E54" s="6" t="str">
        <f>IF(MONTH(DATE($G$1,11,14))=11,TEXT(DATE($G$1,11,14),"d")&amp;" "&amp;CHOOSE(WEEKDAY(DATE($G$1,11,14),2),"Mo","Di","Mi","Do","Fr","Sa","So")&amp;IFERROR(CHAR(10)&amp;VLOOKUP(DATE($G$1,11,14),Feiertage!$A$2:$B$13,2,FALSE),""),"")</f>
        <v>d Sa</v>
      </c>
      <c r="F54" s="7" t="str">
        <f>IF(MONTH(DATE($G$1,12,14))=12,TEXT(DATE($G$1,12,14),"d")&amp;" "&amp;CHOOSE(WEEKDAY(DATE($G$1,12,14),2),"Mo","Di","Mi","Do","Fr","Sa","So")&amp;IFERROR(CHAR(10)&amp;VLOOKUP(DATE($G$1,12,14),Feiertage!$A$2:$B$13,2,FALSE),""),"")</f>
        <v>d Mo</v>
      </c>
    </row>
    <row r="55" spans="1:6" ht="23.05" customHeight="1" x14ac:dyDescent="0.55000000000000004">
      <c r="A55" s="5" t="str">
        <f>IF(MONTH(DATE($G$1,7,15))=7,TEXT(DATE($G$1,7,15),"d")&amp;" "&amp;CHOOSE(WEEKDAY(DATE($G$1,7,15),2),"Mo","Di","Mi","Do","Fr","Sa","So")&amp;IFERROR(CHAR(10)&amp;VLOOKUP(DATE($G$1,7,15),Feiertage!$A$2:$B$13,2,FALSE),""),"")</f>
        <v>d Mi</v>
      </c>
      <c r="B55" s="6" t="str">
        <f>IF(MONTH(DATE($G$1,8,15))=8,TEXT(DATE($G$1,8,15),"d")&amp;" "&amp;CHOOSE(WEEKDAY(DATE($G$1,8,15),2),"Mo","Di","Mi","Do","Fr","Sa","So")&amp;IFERROR(CHAR(10)&amp;VLOOKUP(DATE($G$1,8,15),Feiertage!$A$2:$B$13,2,FALSE),""),"")</f>
        <v>d Sa</v>
      </c>
      <c r="C55" s="6" t="str">
        <f>IF(MONTH(DATE($G$1,9,15))=9,TEXT(DATE($G$1,9,15),"d")&amp;" "&amp;CHOOSE(WEEKDAY(DATE($G$1,9,15),2),"Mo","Di","Mi","Do","Fr","Sa","So")&amp;IFERROR(CHAR(10)&amp;VLOOKUP(DATE($G$1,9,15),Feiertage!$A$2:$B$13,2,FALSE),""),"")</f>
        <v>d Di</v>
      </c>
      <c r="D55" s="6" t="str">
        <f>IF(MONTH(DATE($G$1,10,15))=10,TEXT(DATE($G$1,10,15),"d")&amp;" "&amp;CHOOSE(WEEKDAY(DATE($G$1,10,15),2),"Mo","Di","Mi","Do","Fr","Sa","So")&amp;IFERROR(CHAR(10)&amp;VLOOKUP(DATE($G$1,10,15),Feiertage!$A$2:$B$13,2,FALSE),""),"")</f>
        <v>d Do</v>
      </c>
      <c r="E55" s="6" t="str">
        <f>IF(MONTH(DATE($G$1,11,15))=11,TEXT(DATE($G$1,11,15),"d")&amp;" "&amp;CHOOSE(WEEKDAY(DATE($G$1,11,15),2),"Mo","Di","Mi","Do","Fr","Sa","So")&amp;IFERROR(CHAR(10)&amp;VLOOKUP(DATE($G$1,11,15),Feiertage!$A$2:$B$13,2,FALSE),""),"")</f>
        <v>d So</v>
      </c>
      <c r="F55" s="7" t="str">
        <f>IF(MONTH(DATE($G$1,12,15))=12,TEXT(DATE($G$1,12,15),"d")&amp;" "&amp;CHOOSE(WEEKDAY(DATE($G$1,12,15),2),"Mo","Di","Mi","Do","Fr","Sa","So")&amp;IFERROR(CHAR(10)&amp;VLOOKUP(DATE($G$1,12,15),Feiertage!$A$2:$B$13,2,FALSE),""),"")</f>
        <v>d Di</v>
      </c>
    </row>
    <row r="56" spans="1:6" ht="23.05" customHeight="1" x14ac:dyDescent="0.55000000000000004">
      <c r="A56" s="5" t="str">
        <f>IF(MONTH(DATE($G$1,7,16))=7,TEXT(DATE($G$1,7,16),"d")&amp;" "&amp;CHOOSE(WEEKDAY(DATE($G$1,7,16),2),"Mo","Di","Mi","Do","Fr","Sa","So")&amp;IFERROR(CHAR(10)&amp;VLOOKUP(DATE($G$1,7,16),Feiertage!$A$2:$B$13,2,FALSE),""),"")</f>
        <v>d Do</v>
      </c>
      <c r="B56" s="6" t="str">
        <f>IF(MONTH(DATE($G$1,8,16))=8,TEXT(DATE($G$1,8,16),"d")&amp;" "&amp;CHOOSE(WEEKDAY(DATE($G$1,8,16),2),"Mo","Di","Mi","Do","Fr","Sa","So")&amp;IFERROR(CHAR(10)&amp;VLOOKUP(DATE($G$1,8,16),Feiertage!$A$2:$B$13,2,FALSE),""),"")</f>
        <v>d So</v>
      </c>
      <c r="C56" s="6" t="str">
        <f>IF(MONTH(DATE($G$1,9,16))=9,TEXT(DATE($G$1,9,16),"d")&amp;" "&amp;CHOOSE(WEEKDAY(DATE($G$1,9,16),2),"Mo","Di","Mi","Do","Fr","Sa","So")&amp;IFERROR(CHAR(10)&amp;VLOOKUP(DATE($G$1,9,16),Feiertage!$A$2:$B$13,2,FALSE),""),"")</f>
        <v>d Mi</v>
      </c>
      <c r="D56" s="6" t="str">
        <f>IF(MONTH(DATE($G$1,10,16))=10,TEXT(DATE($G$1,10,16),"d")&amp;" "&amp;CHOOSE(WEEKDAY(DATE($G$1,10,16),2),"Mo","Di","Mi","Do","Fr","Sa","So")&amp;IFERROR(CHAR(10)&amp;VLOOKUP(DATE($G$1,10,16),Feiertage!$A$2:$B$13,2,FALSE),""),"")</f>
        <v>d Fr</v>
      </c>
      <c r="E56" s="6" t="str">
        <f>IF(MONTH(DATE($G$1,11,16))=11,TEXT(DATE($G$1,11,16),"d")&amp;" "&amp;CHOOSE(WEEKDAY(DATE($G$1,11,16),2),"Mo","Di","Mi","Do","Fr","Sa","So")&amp;IFERROR(CHAR(10)&amp;VLOOKUP(DATE($G$1,11,16),Feiertage!$A$2:$B$13,2,FALSE),""),"")</f>
        <v>d Mo</v>
      </c>
      <c r="F56" s="7" t="str">
        <f>IF(MONTH(DATE($G$1,12,16))=12,TEXT(DATE($G$1,12,16),"d")&amp;" "&amp;CHOOSE(WEEKDAY(DATE($G$1,12,16),2),"Mo","Di","Mi","Do","Fr","Sa","So")&amp;IFERROR(CHAR(10)&amp;VLOOKUP(DATE($G$1,12,16),Feiertage!$A$2:$B$13,2,FALSE),""),"")</f>
        <v>d Mi</v>
      </c>
    </row>
    <row r="57" spans="1:6" ht="23.05" customHeight="1" x14ac:dyDescent="0.55000000000000004">
      <c r="A57" s="5" t="str">
        <f>IF(MONTH(DATE($G$1,7,17))=7,TEXT(DATE($G$1,7,17),"d")&amp;" "&amp;CHOOSE(WEEKDAY(DATE($G$1,7,17),2),"Mo","Di","Mi","Do","Fr","Sa","So")&amp;IFERROR(CHAR(10)&amp;VLOOKUP(DATE($G$1,7,17),Feiertage!$A$2:$B$13,2,FALSE),""),"")</f>
        <v>d Fr</v>
      </c>
      <c r="B57" s="6" t="str">
        <f>IF(MONTH(DATE($G$1,8,17))=8,TEXT(DATE($G$1,8,17),"d")&amp;" "&amp;CHOOSE(WEEKDAY(DATE($G$1,8,17),2),"Mo","Di","Mi","Do","Fr","Sa","So")&amp;IFERROR(CHAR(10)&amp;VLOOKUP(DATE($G$1,8,17),Feiertage!$A$2:$B$13,2,FALSE),""),"")</f>
        <v>d Mo</v>
      </c>
      <c r="C57" s="6" t="str">
        <f>IF(MONTH(DATE($G$1,9,17))=9,TEXT(DATE($G$1,9,17),"d")&amp;" "&amp;CHOOSE(WEEKDAY(DATE($G$1,9,17),2),"Mo","Di","Mi","Do","Fr","Sa","So")&amp;IFERROR(CHAR(10)&amp;VLOOKUP(DATE($G$1,9,17),Feiertage!$A$2:$B$13,2,FALSE),""),"")</f>
        <v>d Do</v>
      </c>
      <c r="D57" s="6" t="str">
        <f>IF(MONTH(DATE($G$1,10,17))=10,TEXT(DATE($G$1,10,17),"d")&amp;" "&amp;CHOOSE(WEEKDAY(DATE($G$1,10,17),2),"Mo","Di","Mi","Do","Fr","Sa","So")&amp;IFERROR(CHAR(10)&amp;VLOOKUP(DATE($G$1,10,17),Feiertage!$A$2:$B$13,2,FALSE),""),"")</f>
        <v>d Sa</v>
      </c>
      <c r="E57" s="6" t="str">
        <f>IF(MONTH(DATE($G$1,11,17))=11,TEXT(DATE($G$1,11,17),"d")&amp;" "&amp;CHOOSE(WEEKDAY(DATE($G$1,11,17),2),"Mo","Di","Mi","Do","Fr","Sa","So")&amp;IFERROR(CHAR(10)&amp;VLOOKUP(DATE($G$1,11,17),Feiertage!$A$2:$B$13,2,FALSE),""),"")</f>
        <v>d Di</v>
      </c>
      <c r="F57" s="7" t="str">
        <f>IF(MONTH(DATE($G$1,12,17))=12,TEXT(DATE($G$1,12,17),"d")&amp;" "&amp;CHOOSE(WEEKDAY(DATE($G$1,12,17),2),"Mo","Di","Mi","Do","Fr","Sa","So")&amp;IFERROR(CHAR(10)&amp;VLOOKUP(DATE($G$1,12,17),Feiertage!$A$2:$B$13,2,FALSE),""),"")</f>
        <v>d Do</v>
      </c>
    </row>
    <row r="58" spans="1:6" ht="23.05" customHeight="1" x14ac:dyDescent="0.55000000000000004">
      <c r="A58" s="5" t="str">
        <f>IF(MONTH(DATE($G$1,7,18))=7,TEXT(DATE($G$1,7,18),"d")&amp;" "&amp;CHOOSE(WEEKDAY(DATE($G$1,7,18),2),"Mo","Di","Mi","Do","Fr","Sa","So")&amp;IFERROR(CHAR(10)&amp;VLOOKUP(DATE($G$1,7,18),Feiertage!$A$2:$B$13,2,FALSE),""),"")</f>
        <v>d Sa</v>
      </c>
      <c r="B58" s="6" t="str">
        <f>IF(MONTH(DATE($G$1,8,18))=8,TEXT(DATE($G$1,8,18),"d")&amp;" "&amp;CHOOSE(WEEKDAY(DATE($G$1,8,18),2),"Mo","Di","Mi","Do","Fr","Sa","So")&amp;IFERROR(CHAR(10)&amp;VLOOKUP(DATE($G$1,8,18),Feiertage!$A$2:$B$13,2,FALSE),""),"")</f>
        <v>d Di</v>
      </c>
      <c r="C58" s="6" t="str">
        <f>IF(MONTH(DATE($G$1,9,18))=9,TEXT(DATE($G$1,9,18),"d")&amp;" "&amp;CHOOSE(WEEKDAY(DATE($G$1,9,18),2),"Mo","Di","Mi","Do","Fr","Sa","So")&amp;IFERROR(CHAR(10)&amp;VLOOKUP(DATE($G$1,9,18),Feiertage!$A$2:$B$13,2,FALSE),""),"")</f>
        <v>d Fr</v>
      </c>
      <c r="D58" s="6" t="str">
        <f>IF(MONTH(DATE($G$1,10,18))=10,TEXT(DATE($G$1,10,18),"d")&amp;" "&amp;CHOOSE(WEEKDAY(DATE($G$1,10,18),2),"Mo","Di","Mi","Do","Fr","Sa","So")&amp;IFERROR(CHAR(10)&amp;VLOOKUP(DATE($G$1,10,18),Feiertage!$A$2:$B$13,2,FALSE),""),"")</f>
        <v>d So</v>
      </c>
      <c r="E58" s="6" t="str">
        <f>IF(MONTH(DATE($G$1,11,18))=11,TEXT(DATE($G$1,11,18),"d")&amp;" "&amp;CHOOSE(WEEKDAY(DATE($G$1,11,18),2),"Mo","Di","Mi","Do","Fr","Sa","So")&amp;IFERROR(CHAR(10)&amp;VLOOKUP(DATE($G$1,11,18),Feiertage!$A$2:$B$13,2,FALSE),""),"")</f>
        <v>d Mi</v>
      </c>
      <c r="F58" s="7" t="str">
        <f>IF(MONTH(DATE($G$1,12,18))=12,TEXT(DATE($G$1,12,18),"d")&amp;" "&amp;CHOOSE(WEEKDAY(DATE($G$1,12,18),2),"Mo","Di","Mi","Do","Fr","Sa","So")&amp;IFERROR(CHAR(10)&amp;VLOOKUP(DATE($G$1,12,18),Feiertage!$A$2:$B$13,2,FALSE),""),"")</f>
        <v>d Fr</v>
      </c>
    </row>
    <row r="59" spans="1:6" ht="23.05" customHeight="1" x14ac:dyDescent="0.55000000000000004">
      <c r="A59" s="5" t="str">
        <f>IF(MONTH(DATE($G$1,7,19))=7,TEXT(DATE($G$1,7,19),"d")&amp;" "&amp;CHOOSE(WEEKDAY(DATE($G$1,7,19),2),"Mo","Di","Mi","Do","Fr","Sa","So")&amp;IFERROR(CHAR(10)&amp;VLOOKUP(DATE($G$1,7,19),Feiertage!$A$2:$B$13,2,FALSE),""),"")</f>
        <v>d So</v>
      </c>
      <c r="B59" s="6" t="str">
        <f>IF(MONTH(DATE($G$1,8,19))=8,TEXT(DATE($G$1,8,19),"d")&amp;" "&amp;CHOOSE(WEEKDAY(DATE($G$1,8,19),2),"Mo","Di","Mi","Do","Fr","Sa","So")&amp;IFERROR(CHAR(10)&amp;VLOOKUP(DATE($G$1,8,19),Feiertage!$A$2:$B$13,2,FALSE),""),"")</f>
        <v>d Mi</v>
      </c>
      <c r="C59" s="6" t="str">
        <f>IF(MONTH(DATE($G$1,9,19))=9,TEXT(DATE($G$1,9,19),"d")&amp;" "&amp;CHOOSE(WEEKDAY(DATE($G$1,9,19),2),"Mo","Di","Mi","Do","Fr","Sa","So")&amp;IFERROR(CHAR(10)&amp;VLOOKUP(DATE($G$1,9,19),Feiertage!$A$2:$B$13,2,FALSE),""),"")</f>
        <v>d Sa</v>
      </c>
      <c r="D59" s="6" t="str">
        <f>IF(MONTH(DATE($G$1,10,19))=10,TEXT(DATE($G$1,10,19),"d")&amp;" "&amp;CHOOSE(WEEKDAY(DATE($G$1,10,19),2),"Mo","Di","Mi","Do","Fr","Sa","So")&amp;IFERROR(CHAR(10)&amp;VLOOKUP(DATE($G$1,10,19),Feiertage!$A$2:$B$13,2,FALSE),""),"")</f>
        <v>d Mo</v>
      </c>
      <c r="E59" s="6" t="str">
        <f>IF(MONTH(DATE($G$1,11,19))=11,TEXT(DATE($G$1,11,19),"d")&amp;" "&amp;CHOOSE(WEEKDAY(DATE($G$1,11,19),2),"Mo","Di","Mi","Do","Fr","Sa","So")&amp;IFERROR(CHAR(10)&amp;VLOOKUP(DATE($G$1,11,19),Feiertage!$A$2:$B$13,2,FALSE),""),"")</f>
        <v>d Do</v>
      </c>
      <c r="F59" s="7" t="str">
        <f>IF(MONTH(DATE($G$1,12,19))=12,TEXT(DATE($G$1,12,19),"d")&amp;" "&amp;CHOOSE(WEEKDAY(DATE($G$1,12,19),2),"Mo","Di","Mi","Do","Fr","Sa","So")&amp;IFERROR(CHAR(10)&amp;VLOOKUP(DATE($G$1,12,19),Feiertage!$A$2:$B$13,2,FALSE),""),"")</f>
        <v>d Sa</v>
      </c>
    </row>
    <row r="60" spans="1:6" ht="23.05" customHeight="1" x14ac:dyDescent="0.55000000000000004">
      <c r="A60" s="5" t="str">
        <f>IF(MONTH(DATE($G$1,7,20))=7,TEXT(DATE($G$1,7,20),"d")&amp;" "&amp;CHOOSE(WEEKDAY(DATE($G$1,7,20),2),"Mo","Di","Mi","Do","Fr","Sa","So")&amp;IFERROR(CHAR(10)&amp;VLOOKUP(DATE($G$1,7,20),Feiertage!$A$2:$B$13,2,FALSE),""),"")</f>
        <v>d Mo</v>
      </c>
      <c r="B60" s="6" t="str">
        <f>IF(MONTH(DATE($G$1,8,20))=8,TEXT(DATE($G$1,8,20),"d")&amp;" "&amp;CHOOSE(WEEKDAY(DATE($G$1,8,20),2),"Mo","Di","Mi","Do","Fr","Sa","So")&amp;IFERROR(CHAR(10)&amp;VLOOKUP(DATE($G$1,8,20),Feiertage!$A$2:$B$13,2,FALSE),""),"")</f>
        <v>d Do</v>
      </c>
      <c r="C60" s="6" t="str">
        <f>IF(MONTH(DATE($G$1,9,20))=9,TEXT(DATE($G$1,9,20),"d")&amp;" "&amp;CHOOSE(WEEKDAY(DATE($G$1,9,20),2),"Mo","Di","Mi","Do","Fr","Sa","So")&amp;IFERROR(CHAR(10)&amp;VLOOKUP(DATE($G$1,9,20),Feiertage!$A$2:$B$13,2,FALSE),""),"")</f>
        <v>d So</v>
      </c>
      <c r="D60" s="6" t="str">
        <f>IF(MONTH(DATE($G$1,10,20))=10,TEXT(DATE($G$1,10,20),"d")&amp;" "&amp;CHOOSE(WEEKDAY(DATE($G$1,10,20),2),"Mo","Di","Mi","Do","Fr","Sa","So")&amp;IFERROR(CHAR(10)&amp;VLOOKUP(DATE($G$1,10,20),Feiertage!$A$2:$B$13,2,FALSE),""),"")</f>
        <v>d Di</v>
      </c>
      <c r="E60" s="6" t="str">
        <f>IF(MONTH(DATE($G$1,11,20))=11,TEXT(DATE($G$1,11,20),"d")&amp;" "&amp;CHOOSE(WEEKDAY(DATE($G$1,11,20),2),"Mo","Di","Mi","Do","Fr","Sa","So")&amp;IFERROR(CHAR(10)&amp;VLOOKUP(DATE($G$1,11,20),Feiertage!$A$2:$B$13,2,FALSE),""),"")</f>
        <v>d Fr</v>
      </c>
      <c r="F60" s="7" t="str">
        <f>IF(MONTH(DATE($G$1,12,20))=12,TEXT(DATE($G$1,12,20),"d")&amp;" "&amp;CHOOSE(WEEKDAY(DATE($G$1,12,20),2),"Mo","Di","Mi","Do","Fr","Sa","So")&amp;IFERROR(CHAR(10)&amp;VLOOKUP(DATE($G$1,12,20),Feiertage!$A$2:$B$13,2,FALSE),""),"")</f>
        <v>d So</v>
      </c>
    </row>
    <row r="61" spans="1:6" ht="23.05" customHeight="1" x14ac:dyDescent="0.55000000000000004">
      <c r="A61" s="5" t="str">
        <f>IF(MONTH(DATE($G$1,7,21))=7,TEXT(DATE($G$1,7,21),"d")&amp;" "&amp;CHOOSE(WEEKDAY(DATE($G$1,7,21),2),"Mo","Di","Mi","Do","Fr","Sa","So")&amp;IFERROR(CHAR(10)&amp;VLOOKUP(DATE($G$1,7,21),Feiertage!$A$2:$B$13,2,FALSE),""),"")</f>
        <v>d Di</v>
      </c>
      <c r="B61" s="6" t="str">
        <f>IF(MONTH(DATE($G$1,8,21))=8,TEXT(DATE($G$1,8,21),"d")&amp;" "&amp;CHOOSE(WEEKDAY(DATE($G$1,8,21),2),"Mo","Di","Mi","Do","Fr","Sa","So")&amp;IFERROR(CHAR(10)&amp;VLOOKUP(DATE($G$1,8,21),Feiertage!$A$2:$B$13,2,FALSE),""),"")</f>
        <v>d Fr</v>
      </c>
      <c r="C61" s="6" t="str">
        <f>IF(MONTH(DATE($G$1,9,21))=9,TEXT(DATE($G$1,9,21),"d")&amp;" "&amp;CHOOSE(WEEKDAY(DATE($G$1,9,21),2),"Mo","Di","Mi","Do","Fr","Sa","So")&amp;IFERROR(CHAR(10)&amp;VLOOKUP(DATE($G$1,9,21),Feiertage!$A$2:$B$13,2,FALSE),""),"")</f>
        <v>d Mo</v>
      </c>
      <c r="D61" s="6" t="str">
        <f>IF(MONTH(DATE($G$1,10,21))=10,TEXT(DATE($G$1,10,21),"d")&amp;" "&amp;CHOOSE(WEEKDAY(DATE($G$1,10,21),2),"Mo","Di","Mi","Do","Fr","Sa","So")&amp;IFERROR(CHAR(10)&amp;VLOOKUP(DATE($G$1,10,21),Feiertage!$A$2:$B$13,2,FALSE),""),"")</f>
        <v>d Mi</v>
      </c>
      <c r="E61" s="6" t="str">
        <f>IF(MONTH(DATE($G$1,11,21))=11,TEXT(DATE($G$1,11,21),"d")&amp;" "&amp;CHOOSE(WEEKDAY(DATE($G$1,11,21),2),"Mo","Di","Mi","Do","Fr","Sa","So")&amp;IFERROR(CHAR(10)&amp;VLOOKUP(DATE($G$1,11,21),Feiertage!$A$2:$B$13,2,FALSE),""),"")</f>
        <v>d Sa</v>
      </c>
      <c r="F61" s="7" t="str">
        <f>IF(MONTH(DATE($G$1,12,21))=12,TEXT(DATE($G$1,12,21),"d")&amp;" "&amp;CHOOSE(WEEKDAY(DATE($G$1,12,21),2),"Mo","Di","Mi","Do","Fr","Sa","So")&amp;IFERROR(CHAR(10)&amp;VLOOKUP(DATE($G$1,12,21),Feiertage!$A$2:$B$13,2,FALSE),""),"")</f>
        <v>d Mo</v>
      </c>
    </row>
    <row r="62" spans="1:6" ht="23.05" customHeight="1" x14ac:dyDescent="0.55000000000000004">
      <c r="A62" s="5" t="str">
        <f>IF(MONTH(DATE($G$1,7,22))=7,TEXT(DATE($G$1,7,22),"d")&amp;" "&amp;CHOOSE(WEEKDAY(DATE($G$1,7,22),2),"Mo","Di","Mi","Do","Fr","Sa","So")&amp;IFERROR(CHAR(10)&amp;VLOOKUP(DATE($G$1,7,22),Feiertage!$A$2:$B$13,2,FALSE),""),"")</f>
        <v>d Mi</v>
      </c>
      <c r="B62" s="6" t="str">
        <f>IF(MONTH(DATE($G$1,8,22))=8,TEXT(DATE($G$1,8,22),"d")&amp;" "&amp;CHOOSE(WEEKDAY(DATE($G$1,8,22),2),"Mo","Di","Mi","Do","Fr","Sa","So")&amp;IFERROR(CHAR(10)&amp;VLOOKUP(DATE($G$1,8,22),Feiertage!$A$2:$B$13,2,FALSE),""),"")</f>
        <v>d Sa</v>
      </c>
      <c r="C62" s="6" t="str">
        <f>IF(MONTH(DATE($G$1,9,22))=9,TEXT(DATE($G$1,9,22),"d")&amp;" "&amp;CHOOSE(WEEKDAY(DATE($G$1,9,22),2),"Mo","Di","Mi","Do","Fr","Sa","So")&amp;IFERROR(CHAR(10)&amp;VLOOKUP(DATE($G$1,9,22),Feiertage!$A$2:$B$13,2,FALSE),""),"")</f>
        <v>d Di</v>
      </c>
      <c r="D62" s="6" t="str">
        <f>IF(MONTH(DATE($G$1,10,22))=10,TEXT(DATE($G$1,10,22),"d")&amp;" "&amp;CHOOSE(WEEKDAY(DATE($G$1,10,22),2),"Mo","Di","Mi","Do","Fr","Sa","So")&amp;IFERROR(CHAR(10)&amp;VLOOKUP(DATE($G$1,10,22),Feiertage!$A$2:$B$13,2,FALSE),""),"")</f>
        <v>d Do</v>
      </c>
      <c r="E62" s="6" t="str">
        <f>IF(MONTH(DATE($G$1,11,22))=11,TEXT(DATE($G$1,11,22),"d")&amp;" "&amp;CHOOSE(WEEKDAY(DATE($G$1,11,22),2),"Mo","Di","Mi","Do","Fr","Sa","So")&amp;IFERROR(CHAR(10)&amp;VLOOKUP(DATE($G$1,11,22),Feiertage!$A$2:$B$13,2,FALSE),""),"")</f>
        <v>d So</v>
      </c>
      <c r="F62" s="7" t="str">
        <f>IF(MONTH(DATE($G$1,12,22))=12,TEXT(DATE($G$1,12,22),"d")&amp;" "&amp;CHOOSE(WEEKDAY(DATE($G$1,12,22),2),"Mo","Di","Mi","Do","Fr","Sa","So")&amp;IFERROR(CHAR(10)&amp;VLOOKUP(DATE($G$1,12,22),Feiertage!$A$2:$B$13,2,FALSE),""),"")</f>
        <v>d Di</v>
      </c>
    </row>
    <row r="63" spans="1:6" ht="23.05" customHeight="1" x14ac:dyDescent="0.55000000000000004">
      <c r="A63" s="5" t="str">
        <f>IF(MONTH(DATE($G$1,7,23))=7,TEXT(DATE($G$1,7,23),"d")&amp;" "&amp;CHOOSE(WEEKDAY(DATE($G$1,7,23),2),"Mo","Di","Mi","Do","Fr","Sa","So")&amp;IFERROR(CHAR(10)&amp;VLOOKUP(DATE($G$1,7,23),Feiertage!$A$2:$B$13,2,FALSE),""),"")</f>
        <v>d Do</v>
      </c>
      <c r="B63" s="6" t="str">
        <f>IF(MONTH(DATE($G$1,8,23))=8,TEXT(DATE($G$1,8,23),"d")&amp;" "&amp;CHOOSE(WEEKDAY(DATE($G$1,8,23),2),"Mo","Di","Mi","Do","Fr","Sa","So")&amp;IFERROR(CHAR(10)&amp;VLOOKUP(DATE($G$1,8,23),Feiertage!$A$2:$B$13,2,FALSE),""),"")</f>
        <v>d So</v>
      </c>
      <c r="C63" s="6" t="str">
        <f>IF(MONTH(DATE($G$1,9,23))=9,TEXT(DATE($G$1,9,23),"d")&amp;" "&amp;CHOOSE(WEEKDAY(DATE($G$1,9,23),2),"Mo","Di","Mi","Do","Fr","Sa","So")&amp;IFERROR(CHAR(10)&amp;VLOOKUP(DATE($G$1,9,23),Feiertage!$A$2:$B$13,2,FALSE),""),"")</f>
        <v>d Mi</v>
      </c>
      <c r="D63" s="6" t="str">
        <f>IF(MONTH(DATE($G$1,10,23))=10,TEXT(DATE($G$1,10,23),"d")&amp;" "&amp;CHOOSE(WEEKDAY(DATE($G$1,10,23),2),"Mo","Di","Mi","Do","Fr","Sa","So")&amp;IFERROR(CHAR(10)&amp;VLOOKUP(DATE($G$1,10,23),Feiertage!$A$2:$B$13,2,FALSE),""),"")</f>
        <v>d Fr</v>
      </c>
      <c r="E63" s="6" t="str">
        <f>IF(MONTH(DATE($G$1,11,23))=11,TEXT(DATE($G$1,11,23),"d")&amp;" "&amp;CHOOSE(WEEKDAY(DATE($G$1,11,23),2),"Mo","Di","Mi","Do","Fr","Sa","So")&amp;IFERROR(CHAR(10)&amp;VLOOKUP(DATE($G$1,11,23),Feiertage!$A$2:$B$13,2,FALSE),""),"")</f>
        <v>d Mo</v>
      </c>
      <c r="F63" s="7" t="str">
        <f>IF(MONTH(DATE($G$1,12,23))=12,TEXT(DATE($G$1,12,23),"d")&amp;" "&amp;CHOOSE(WEEKDAY(DATE($G$1,12,23),2),"Mo","Di","Mi","Do","Fr","Sa","So")&amp;IFERROR(CHAR(10)&amp;VLOOKUP(DATE($G$1,12,23),Feiertage!$A$2:$B$13,2,FALSE),""),"")</f>
        <v>d Mi</v>
      </c>
    </row>
    <row r="64" spans="1:6" ht="23.05" customHeight="1" x14ac:dyDescent="0.55000000000000004">
      <c r="A64" s="5" t="str">
        <f>IF(MONTH(DATE($G$1,7,24))=7,TEXT(DATE($G$1,7,24),"d")&amp;" "&amp;CHOOSE(WEEKDAY(DATE($G$1,7,24),2),"Mo","Di","Mi","Do","Fr","Sa","So")&amp;IFERROR(CHAR(10)&amp;VLOOKUP(DATE($G$1,7,24),Feiertage!$A$2:$B$13,2,FALSE),""),"")</f>
        <v>d Fr</v>
      </c>
      <c r="B64" s="6" t="str">
        <f>IF(MONTH(DATE($G$1,8,24))=8,TEXT(DATE($G$1,8,24),"d")&amp;" "&amp;CHOOSE(WEEKDAY(DATE($G$1,8,24),2),"Mo","Di","Mi","Do","Fr","Sa","So")&amp;IFERROR(CHAR(10)&amp;VLOOKUP(DATE($G$1,8,24),Feiertage!$A$2:$B$13,2,FALSE),""),"")</f>
        <v>d Mo</v>
      </c>
      <c r="C64" s="6" t="str">
        <f>IF(MONTH(DATE($G$1,9,24))=9,TEXT(DATE($G$1,9,24),"d")&amp;" "&amp;CHOOSE(WEEKDAY(DATE($G$1,9,24),2),"Mo","Di","Mi","Do","Fr","Sa","So")&amp;IFERROR(CHAR(10)&amp;VLOOKUP(DATE($G$1,9,24),Feiertage!$A$2:$B$13,2,FALSE),""),"")</f>
        <v>d Do</v>
      </c>
      <c r="D64" s="6" t="str">
        <f>IF(MONTH(DATE($G$1,10,24))=10,TEXT(DATE($G$1,10,24),"d")&amp;" "&amp;CHOOSE(WEEKDAY(DATE($G$1,10,24),2),"Mo","Di","Mi","Do","Fr","Sa","So")&amp;IFERROR(CHAR(10)&amp;VLOOKUP(DATE($G$1,10,24),Feiertage!$A$2:$B$13,2,FALSE),""),"")</f>
        <v>d Sa</v>
      </c>
      <c r="E64" s="6" t="str">
        <f>IF(MONTH(DATE($G$1,11,24))=11,TEXT(DATE($G$1,11,24),"d")&amp;" "&amp;CHOOSE(WEEKDAY(DATE($G$1,11,24),2),"Mo","Di","Mi","Do","Fr","Sa","So")&amp;IFERROR(CHAR(10)&amp;VLOOKUP(DATE($G$1,11,24),Feiertage!$A$2:$B$13,2,FALSE),""),"")</f>
        <v>d Di</v>
      </c>
      <c r="F64" s="7" t="str">
        <f>IF(MONTH(DATE($G$1,12,24))=12,TEXT(DATE($G$1,12,24),"d")&amp;" "&amp;CHOOSE(WEEKDAY(DATE($G$1,12,24),2),"Mo","Di","Mi","Do","Fr","Sa","So")&amp;IFERROR(CHAR(10)&amp;VLOOKUP(DATE($G$1,12,24),Feiertage!$A$2:$B$13,2,FALSE),""),"")</f>
        <v>d Do</v>
      </c>
    </row>
    <row r="65" spans="1:6" ht="23.05" customHeight="1" x14ac:dyDescent="0.55000000000000004">
      <c r="A65" s="5" t="str">
        <f>IF(MONTH(DATE($G$1,7,25))=7,TEXT(DATE($G$1,7,25),"d")&amp;" "&amp;CHOOSE(WEEKDAY(DATE($G$1,7,25),2),"Mo","Di","Mi","Do","Fr","Sa","So")&amp;IFERROR(CHAR(10)&amp;VLOOKUP(DATE($G$1,7,25),Feiertage!$A$2:$B$13,2,FALSE),""),"")</f>
        <v>d Sa</v>
      </c>
      <c r="B65" s="6" t="str">
        <f>IF(MONTH(DATE($G$1,8,25))=8,TEXT(DATE($G$1,8,25),"d")&amp;" "&amp;CHOOSE(WEEKDAY(DATE($G$1,8,25),2),"Mo","Di","Mi","Do","Fr","Sa","So")&amp;IFERROR(CHAR(10)&amp;VLOOKUP(DATE($G$1,8,25),Feiertage!$A$2:$B$13,2,FALSE),""),"")</f>
        <v>d Di</v>
      </c>
      <c r="C65" s="6" t="str">
        <f>IF(MONTH(DATE($G$1,9,25))=9,TEXT(DATE($G$1,9,25),"d")&amp;" "&amp;CHOOSE(WEEKDAY(DATE($G$1,9,25),2),"Mo","Di","Mi","Do","Fr","Sa","So")&amp;IFERROR(CHAR(10)&amp;VLOOKUP(DATE($G$1,9,25),Feiertage!$A$2:$B$13,2,FALSE),""),"")</f>
        <v>d Fr</v>
      </c>
      <c r="D65" s="6" t="str">
        <f>IF(MONTH(DATE($G$1,10,25))=10,TEXT(DATE($G$1,10,25),"d")&amp;" "&amp;CHOOSE(WEEKDAY(DATE($G$1,10,25),2),"Mo","Di","Mi","Do","Fr","Sa","So")&amp;IFERROR(CHAR(10)&amp;VLOOKUP(DATE($G$1,10,25),Feiertage!$A$2:$B$13,2,FALSE),""),"")</f>
        <v>d So</v>
      </c>
      <c r="E65" s="6" t="str">
        <f>IF(MONTH(DATE($G$1,11,25))=11,TEXT(DATE($G$1,11,25),"d")&amp;" "&amp;CHOOSE(WEEKDAY(DATE($G$1,11,25),2),"Mo","Di","Mi","Do","Fr","Sa","So")&amp;IFERROR(CHAR(10)&amp;VLOOKUP(DATE($G$1,11,25),Feiertage!$A$2:$B$13,2,FALSE),""),"")</f>
        <v>d Mi</v>
      </c>
      <c r="F65" s="7" t="str">
        <f>IF(MONTH(DATE($G$1,12,25))=12,TEXT(DATE($G$1,12,25),"d")&amp;" "&amp;CHOOSE(WEEKDAY(DATE($G$1,12,25),2),"Mo","Di","Mi","Do","Fr","Sa","So")&amp;IFERROR(CHAR(10)&amp;VLOOKUP(DATE($G$1,12,25),Feiertage!$A$2:$B$13,2,FALSE),""),"")</f>
        <v>d Fr
1. Weihnachtstag</v>
      </c>
    </row>
    <row r="66" spans="1:6" ht="23.05" customHeight="1" x14ac:dyDescent="0.55000000000000004">
      <c r="A66" s="5" t="str">
        <f>IF(MONTH(DATE($G$1,7,26))=7,TEXT(DATE($G$1,7,26),"d")&amp;" "&amp;CHOOSE(WEEKDAY(DATE($G$1,7,26),2),"Mo","Di","Mi","Do","Fr","Sa","So")&amp;IFERROR(CHAR(10)&amp;VLOOKUP(DATE($G$1,7,26),Feiertage!$A$2:$B$13,2,FALSE),""),"")</f>
        <v>d So</v>
      </c>
      <c r="B66" s="6" t="str">
        <f>IF(MONTH(DATE($G$1,8,26))=8,TEXT(DATE($G$1,8,26),"d")&amp;" "&amp;CHOOSE(WEEKDAY(DATE($G$1,8,26),2),"Mo","Di","Mi","Do","Fr","Sa","So")&amp;IFERROR(CHAR(10)&amp;VLOOKUP(DATE($G$1,8,26),Feiertage!$A$2:$B$13,2,FALSE),""),"")</f>
        <v>d Mi</v>
      </c>
      <c r="C66" s="6" t="str">
        <f>IF(MONTH(DATE($G$1,9,26))=9,TEXT(DATE($G$1,9,26),"d")&amp;" "&amp;CHOOSE(WEEKDAY(DATE($G$1,9,26),2),"Mo","Di","Mi","Do","Fr","Sa","So")&amp;IFERROR(CHAR(10)&amp;VLOOKUP(DATE($G$1,9,26),Feiertage!$A$2:$B$13,2,FALSE),""),"")</f>
        <v>d Sa</v>
      </c>
      <c r="D66" s="6" t="str">
        <f>IF(MONTH(DATE($G$1,10,26))=10,TEXT(DATE($G$1,10,26),"d")&amp;" "&amp;CHOOSE(WEEKDAY(DATE($G$1,10,26),2),"Mo","Di","Mi","Do","Fr","Sa","So")&amp;IFERROR(CHAR(10)&amp;VLOOKUP(DATE($G$1,10,26),Feiertage!$A$2:$B$13,2,FALSE),""),"")</f>
        <v>d Mo</v>
      </c>
      <c r="E66" s="6" t="str">
        <f>IF(MONTH(DATE($G$1,11,26))=11,TEXT(DATE($G$1,11,26),"d")&amp;" "&amp;CHOOSE(WEEKDAY(DATE($G$1,11,26),2),"Mo","Di","Mi","Do","Fr","Sa","So")&amp;IFERROR(CHAR(10)&amp;VLOOKUP(DATE($G$1,11,26),Feiertage!$A$2:$B$13,2,FALSE),""),"")</f>
        <v>d Do</v>
      </c>
      <c r="F66" s="7" t="str">
        <f>IF(MONTH(DATE($G$1,12,26))=12,TEXT(DATE($G$1,12,26),"d")&amp;" "&amp;CHOOSE(WEEKDAY(DATE($G$1,12,26),2),"Mo","Di","Mi","Do","Fr","Sa","So")&amp;IFERROR(CHAR(10)&amp;VLOOKUP(DATE($G$1,12,26),Feiertage!$A$2:$B$13,2,FALSE),""),"")</f>
        <v>d Sa
2. Weihnachtstag</v>
      </c>
    </row>
    <row r="67" spans="1:6" ht="23.05" customHeight="1" x14ac:dyDescent="0.55000000000000004">
      <c r="A67" s="5" t="str">
        <f>IF(MONTH(DATE($G$1,7,27))=7,TEXT(DATE($G$1,7,27),"d")&amp;" "&amp;CHOOSE(WEEKDAY(DATE($G$1,7,27),2),"Mo","Di","Mi","Do","Fr","Sa","So")&amp;IFERROR(CHAR(10)&amp;VLOOKUP(DATE($G$1,7,27),Feiertage!$A$2:$B$13,2,FALSE),""),"")</f>
        <v>d Mo</v>
      </c>
      <c r="B67" s="6" t="str">
        <f>IF(MONTH(DATE($G$1,8,27))=8,TEXT(DATE($G$1,8,27),"d")&amp;" "&amp;CHOOSE(WEEKDAY(DATE($G$1,8,27),2),"Mo","Di","Mi","Do","Fr","Sa","So")&amp;IFERROR(CHAR(10)&amp;VLOOKUP(DATE($G$1,8,27),Feiertage!$A$2:$B$13,2,FALSE),""),"")</f>
        <v>d Do</v>
      </c>
      <c r="C67" s="6" t="str">
        <f>IF(MONTH(DATE($G$1,9,27))=9,TEXT(DATE($G$1,9,27),"d")&amp;" "&amp;CHOOSE(WEEKDAY(DATE($G$1,9,27),2),"Mo","Di","Mi","Do","Fr","Sa","So")&amp;IFERROR(CHAR(10)&amp;VLOOKUP(DATE($G$1,9,27),Feiertage!$A$2:$B$13,2,FALSE),""),"")</f>
        <v>d So</v>
      </c>
      <c r="D67" s="6" t="str">
        <f>IF(MONTH(DATE($G$1,10,27))=10,TEXT(DATE($G$1,10,27),"d")&amp;" "&amp;CHOOSE(WEEKDAY(DATE($G$1,10,27),2),"Mo","Di","Mi","Do","Fr","Sa","So")&amp;IFERROR(CHAR(10)&amp;VLOOKUP(DATE($G$1,10,27),Feiertage!$A$2:$B$13,2,FALSE),""),"")</f>
        <v>d Di</v>
      </c>
      <c r="E67" s="6" t="str">
        <f>IF(MONTH(DATE($G$1,11,27))=11,TEXT(DATE($G$1,11,27),"d")&amp;" "&amp;CHOOSE(WEEKDAY(DATE($G$1,11,27),2),"Mo","Di","Mi","Do","Fr","Sa","So")&amp;IFERROR(CHAR(10)&amp;VLOOKUP(DATE($G$1,11,27),Feiertage!$A$2:$B$13,2,FALSE),""),"")</f>
        <v>d Fr</v>
      </c>
      <c r="F67" s="7" t="str">
        <f>IF(MONTH(DATE($G$1,12,27))=12,TEXT(DATE($G$1,12,27),"d")&amp;" "&amp;CHOOSE(WEEKDAY(DATE($G$1,12,27),2),"Mo","Di","Mi","Do","Fr","Sa","So")&amp;IFERROR(CHAR(10)&amp;VLOOKUP(DATE($G$1,12,27),Feiertage!$A$2:$B$13,2,FALSE),""),"")</f>
        <v>d So</v>
      </c>
    </row>
    <row r="68" spans="1:6" ht="23.05" customHeight="1" x14ac:dyDescent="0.55000000000000004">
      <c r="A68" s="5" t="str">
        <f>IF(MONTH(DATE($G$1,7,28))=7,TEXT(DATE($G$1,7,28),"d")&amp;" "&amp;CHOOSE(WEEKDAY(DATE($G$1,7,28),2),"Mo","Di","Mi","Do","Fr","Sa","So")&amp;IFERROR(CHAR(10)&amp;VLOOKUP(DATE($G$1,7,28),Feiertage!$A$2:$B$13,2,FALSE),""),"")</f>
        <v>d Di</v>
      </c>
      <c r="B68" s="6" t="str">
        <f>IF(MONTH(DATE($G$1,8,28))=8,TEXT(DATE($G$1,8,28),"d")&amp;" "&amp;CHOOSE(WEEKDAY(DATE($G$1,8,28),2),"Mo","Di","Mi","Do","Fr","Sa","So")&amp;IFERROR(CHAR(10)&amp;VLOOKUP(DATE($G$1,8,28),Feiertage!$A$2:$B$13,2,FALSE),""),"")</f>
        <v>d Fr</v>
      </c>
      <c r="C68" s="6" t="str">
        <f>IF(MONTH(DATE($G$1,9,28))=9,TEXT(DATE($G$1,9,28),"d")&amp;" "&amp;CHOOSE(WEEKDAY(DATE($G$1,9,28),2),"Mo","Di","Mi","Do","Fr","Sa","So")&amp;IFERROR(CHAR(10)&amp;VLOOKUP(DATE($G$1,9,28),Feiertage!$A$2:$B$13,2,FALSE),""),"")</f>
        <v>d Mo</v>
      </c>
      <c r="D68" s="6" t="str">
        <f>IF(MONTH(DATE($G$1,10,28))=10,TEXT(DATE($G$1,10,28),"d")&amp;" "&amp;CHOOSE(WEEKDAY(DATE($G$1,10,28),2),"Mo","Di","Mi","Do","Fr","Sa","So")&amp;IFERROR(CHAR(10)&amp;VLOOKUP(DATE($G$1,10,28),Feiertage!$A$2:$B$13,2,FALSE),""),"")</f>
        <v>d Mi</v>
      </c>
      <c r="E68" s="6" t="str">
        <f>IF(MONTH(DATE($G$1,11,28))=11,TEXT(DATE($G$1,11,28),"d")&amp;" "&amp;CHOOSE(WEEKDAY(DATE($G$1,11,28),2),"Mo","Di","Mi","Do","Fr","Sa","So")&amp;IFERROR(CHAR(10)&amp;VLOOKUP(DATE($G$1,11,28),Feiertage!$A$2:$B$13,2,FALSE),""),"")</f>
        <v>d Sa</v>
      </c>
      <c r="F68" s="7" t="str">
        <f>IF(MONTH(DATE($G$1,12,28))=12,TEXT(DATE($G$1,12,28),"d")&amp;" "&amp;CHOOSE(WEEKDAY(DATE($G$1,12,28),2),"Mo","Di","Mi","Do","Fr","Sa","So")&amp;IFERROR(CHAR(10)&amp;VLOOKUP(DATE($G$1,12,28),Feiertage!$A$2:$B$13,2,FALSE),""),"")</f>
        <v>d Mo</v>
      </c>
    </row>
    <row r="69" spans="1:6" ht="23.05" customHeight="1" x14ac:dyDescent="0.55000000000000004">
      <c r="A69" s="5" t="str">
        <f>IF(MONTH(DATE($G$1,7,29))=7,TEXT(DATE($G$1,7,29),"d")&amp;" "&amp;CHOOSE(WEEKDAY(DATE($G$1,7,29),2),"Mo","Di","Mi","Do","Fr","Sa","So")&amp;IFERROR(CHAR(10)&amp;VLOOKUP(DATE($G$1,7,29),Feiertage!$A$2:$B$13,2,FALSE),""),"")</f>
        <v>d Mi</v>
      </c>
      <c r="B69" s="6" t="str">
        <f>IF(MONTH(DATE($G$1,8,29))=8,TEXT(DATE($G$1,8,29),"d")&amp;" "&amp;CHOOSE(WEEKDAY(DATE($G$1,8,29),2),"Mo","Di","Mi","Do","Fr","Sa","So")&amp;IFERROR(CHAR(10)&amp;VLOOKUP(DATE($G$1,8,29),Feiertage!$A$2:$B$13,2,FALSE),""),"")</f>
        <v>d Sa</v>
      </c>
      <c r="C69" s="6" t="str">
        <f>IF(MONTH(DATE($G$1,9,29))=9,TEXT(DATE($G$1,9,29),"d")&amp;" "&amp;CHOOSE(WEEKDAY(DATE($G$1,9,29),2),"Mo","Di","Mi","Do","Fr","Sa","So")&amp;IFERROR(CHAR(10)&amp;VLOOKUP(DATE($G$1,9,29),Feiertage!$A$2:$B$13,2,FALSE),""),"")</f>
        <v>d Di</v>
      </c>
      <c r="D69" s="6" t="str">
        <f>IF(MONTH(DATE($G$1,10,29))=10,TEXT(DATE($G$1,10,29),"d")&amp;" "&amp;CHOOSE(WEEKDAY(DATE($G$1,10,29),2),"Mo","Di","Mi","Do","Fr","Sa","So")&amp;IFERROR(CHAR(10)&amp;VLOOKUP(DATE($G$1,10,29),Feiertage!$A$2:$B$13,2,FALSE),""),"")</f>
        <v>d Do</v>
      </c>
      <c r="E69" s="6" t="str">
        <f>IF(MONTH(DATE($G$1,11,29))=11,TEXT(DATE($G$1,11,29),"d")&amp;" "&amp;CHOOSE(WEEKDAY(DATE($G$1,11,29),2),"Mo","Di","Mi","Do","Fr","Sa","So")&amp;IFERROR(CHAR(10)&amp;VLOOKUP(DATE($G$1,11,29),Feiertage!$A$2:$B$13,2,FALSE),""),"")</f>
        <v>d So</v>
      </c>
      <c r="F69" s="7" t="str">
        <f>IF(MONTH(DATE($G$1,12,29))=12,TEXT(DATE($G$1,12,29),"d")&amp;" "&amp;CHOOSE(WEEKDAY(DATE($G$1,12,29),2),"Mo","Di","Mi","Do","Fr","Sa","So")&amp;IFERROR(CHAR(10)&amp;VLOOKUP(DATE($G$1,12,29),Feiertage!$A$2:$B$13,2,FALSE),""),"")</f>
        <v>d Di</v>
      </c>
    </row>
    <row r="70" spans="1:6" ht="23.05" customHeight="1" x14ac:dyDescent="0.55000000000000004">
      <c r="A70" s="5" t="str">
        <f>IF(MONTH(DATE($G$1,7,30))=7,TEXT(DATE($G$1,7,30),"d")&amp;" "&amp;CHOOSE(WEEKDAY(DATE($G$1,7,30),2),"Mo","Di","Mi","Do","Fr","Sa","So")&amp;IFERROR(CHAR(10)&amp;VLOOKUP(DATE($G$1,7,30),Feiertage!$A$2:$B$13,2,FALSE),""),"")</f>
        <v>d Do</v>
      </c>
      <c r="B70" s="6" t="str">
        <f>IF(MONTH(DATE($G$1,8,30))=8,TEXT(DATE($G$1,8,30),"d")&amp;" "&amp;CHOOSE(WEEKDAY(DATE($G$1,8,30),2),"Mo","Di","Mi","Do","Fr","Sa","So")&amp;IFERROR(CHAR(10)&amp;VLOOKUP(DATE($G$1,8,30),Feiertage!$A$2:$B$13,2,FALSE),""),"")</f>
        <v>d So</v>
      </c>
      <c r="C70" s="6" t="str">
        <f>IF(MONTH(DATE($G$1,9,30))=9,TEXT(DATE($G$1,9,30),"d")&amp;" "&amp;CHOOSE(WEEKDAY(DATE($G$1,9,30),2),"Mo","Di","Mi","Do","Fr","Sa","So")&amp;IFERROR(CHAR(10)&amp;VLOOKUP(DATE($G$1,9,30),Feiertage!$A$2:$B$13,2,FALSE),""),"")</f>
        <v>d Mi</v>
      </c>
      <c r="D70" s="6" t="str">
        <f>IF(MONTH(DATE($G$1,10,30))=10,TEXT(DATE($G$1,10,30),"d")&amp;" "&amp;CHOOSE(WEEKDAY(DATE($G$1,10,30),2),"Mo","Di","Mi","Do","Fr","Sa","So")&amp;IFERROR(CHAR(10)&amp;VLOOKUP(DATE($G$1,10,30),Feiertage!$A$2:$B$13,2,FALSE),""),"")</f>
        <v>d Fr</v>
      </c>
      <c r="E70" s="6" t="str">
        <f>IF(MONTH(DATE($G$1,11,30))=11,TEXT(DATE($G$1,11,30),"d")&amp;" "&amp;CHOOSE(WEEKDAY(DATE($G$1,11,30),2),"Mo","Di","Mi","Do","Fr","Sa","So")&amp;IFERROR(CHAR(10)&amp;VLOOKUP(DATE($G$1,11,30),Feiertage!$A$2:$B$13,2,FALSE),""),"")</f>
        <v>d Mo</v>
      </c>
      <c r="F70" s="7" t="str">
        <f>IF(MONTH(DATE($G$1,12,30))=12,TEXT(DATE($G$1,12,30),"d")&amp;" "&amp;CHOOSE(WEEKDAY(DATE($G$1,12,30),2),"Mo","Di","Mi","Do","Fr","Sa","So")&amp;IFERROR(CHAR(10)&amp;VLOOKUP(DATE($G$1,12,30),Feiertage!$A$2:$B$13,2,FALSE),""),"")</f>
        <v>d Mi</v>
      </c>
    </row>
    <row r="71" spans="1:6" ht="23.05" customHeight="1" x14ac:dyDescent="0.55000000000000004">
      <c r="A71" s="5" t="str">
        <f>IF(MONTH(DATE($G$1,7,31))=7,TEXT(DATE($G$1,7,31),"d")&amp;" "&amp;CHOOSE(WEEKDAY(DATE($G$1,7,31),2),"Mo","Di","Mi","Do","Fr","Sa","So")&amp;IFERROR(CHAR(10)&amp;VLOOKUP(DATE($G$1,7,31),Feiertage!$A$2:$B$13,2,FALSE),""),"")</f>
        <v>d Fr</v>
      </c>
      <c r="B71" s="6" t="str">
        <f>IF(MONTH(DATE($G$1,8,31))=8,TEXT(DATE($G$1,8,31),"d")&amp;" "&amp;CHOOSE(WEEKDAY(DATE($G$1,8,31),2),"Mo","Di","Mi","Do","Fr","Sa","So")&amp;IFERROR(CHAR(10)&amp;VLOOKUP(DATE($G$1,8,31),Feiertage!$A$2:$B$13,2,FALSE),""),"")</f>
        <v>d Mo</v>
      </c>
      <c r="C71" s="6" t="str">
        <f>IF(MONTH(DATE($G$1,9,31))=9,TEXT(DATE($G$1,9,31),"d")&amp;" "&amp;CHOOSE(WEEKDAY(DATE($G$1,9,31),2),"Mo","Di","Mi","Do","Fr","Sa","So")&amp;IFERROR(CHAR(10)&amp;VLOOKUP(DATE($G$1,9,31),Feiertage!$A$2:$B$13,2,FALSE),""),"")</f>
        <v/>
      </c>
      <c r="D71" s="6" t="str">
        <f>IF(MONTH(DATE($G$1,10,31))=10,TEXT(DATE($G$1,10,31),"d")&amp;" "&amp;CHOOSE(WEEKDAY(DATE($G$1,10,31),2),"Mo","Di","Mi","Do","Fr","Sa","So")&amp;IFERROR(CHAR(10)&amp;VLOOKUP(DATE($G$1,10,31),Feiertage!$A$2:$B$13,2,FALSE),""),"")</f>
        <v>d Sa
Reformationstag (SH)</v>
      </c>
      <c r="E71" s="6" t="str">
        <f>IF(MONTH(DATE($G$1,11,31))=11,TEXT(DATE($G$1,11,31),"d")&amp;" "&amp;CHOOSE(WEEKDAY(DATE($G$1,11,31),2),"Mo","Di","Mi","Do","Fr","Sa","So")&amp;IFERROR(CHAR(10)&amp;VLOOKUP(DATE($G$1,11,31),Feiertage!$A$2:$B$13,2,FALSE),""),"")</f>
        <v/>
      </c>
      <c r="F71" s="7" t="str">
        <f>IF(MONTH(DATE($G$1,12,31))=12,TEXT(DATE($G$1,12,31),"d")&amp;" "&amp;CHOOSE(WEEKDAY(DATE($G$1,12,31),2),"Mo","Di","Mi","Do","Fr","Sa","So")&amp;IFERROR(CHAR(10)&amp;VLOOKUP(DATE($G$1,12,31),Feiertage!$A$2:$B$13,2,FALSE),""),"")</f>
        <v>d Do</v>
      </c>
    </row>
  </sheetData>
  <mergeCells count="2">
    <mergeCell ref="H1:J1"/>
    <mergeCell ref="A1:F1"/>
  </mergeCells>
  <conditionalFormatting sqref="A4">
    <cfRule type="expression" dxfId="1115" priority="1">
      <formula>AND(MONTH(DATE($G$1,1,ROW()-3))=1,WEEKDAY(DATE($G$1,1,ROW()-3),2)&gt;5)</formula>
    </cfRule>
    <cfRule type="expression" dxfId="1114" priority="3">
      <formula>MONTH(DATE($G$1,1,ROW()-3))&lt;&gt;1</formula>
    </cfRule>
  </conditionalFormatting>
  <conditionalFormatting sqref="A5">
    <cfRule type="expression" dxfId="1113" priority="4">
      <formula>AND(MONTH(DATE($G$1,1,ROW()-3))=1,WEEKDAY(DATE($G$1,1,ROW()-3),2)&gt;5)</formula>
    </cfRule>
    <cfRule type="expression" dxfId="1112" priority="6">
      <formula>MONTH(DATE($G$1,1,ROW()-3))&lt;&gt;1</formula>
    </cfRule>
  </conditionalFormatting>
  <conditionalFormatting sqref="A6">
    <cfRule type="expression" dxfId="1111" priority="7">
      <formula>AND(MONTH(DATE($G$1,1,ROW()-3))=1,WEEKDAY(DATE($G$1,1,ROW()-3),2)&gt;5)</formula>
    </cfRule>
    <cfRule type="expression" dxfId="1110" priority="9">
      <formula>MONTH(DATE($G$1,1,ROW()-3))&lt;&gt;1</formula>
    </cfRule>
  </conditionalFormatting>
  <conditionalFormatting sqref="A7">
    <cfRule type="expression" dxfId="1109" priority="10">
      <formula>AND(MONTH(DATE($G$1,1,ROW()-3))=1,WEEKDAY(DATE($G$1,1,ROW()-3),2)&gt;5)</formula>
    </cfRule>
    <cfRule type="expression" dxfId="1108" priority="12">
      <formula>MONTH(DATE($G$1,1,ROW()-3))&lt;&gt;1</formula>
    </cfRule>
  </conditionalFormatting>
  <conditionalFormatting sqref="A8">
    <cfRule type="expression" dxfId="1107" priority="13">
      <formula>AND(MONTH(DATE($G$1,1,ROW()-3))=1,WEEKDAY(DATE($G$1,1,ROW()-3),2)&gt;5)</formula>
    </cfRule>
    <cfRule type="expression" dxfId="1106" priority="15">
      <formula>MONTH(DATE($G$1,1,ROW()-3))&lt;&gt;1</formula>
    </cfRule>
  </conditionalFormatting>
  <conditionalFormatting sqref="A9">
    <cfRule type="expression" dxfId="1105" priority="16">
      <formula>AND(MONTH(DATE($G$1,1,ROW()-3))=1,WEEKDAY(DATE($G$1,1,ROW()-3),2)&gt;5)</formula>
    </cfRule>
    <cfRule type="expression" dxfId="1104" priority="18">
      <formula>MONTH(DATE($G$1,1,ROW()-3))&lt;&gt;1</formula>
    </cfRule>
  </conditionalFormatting>
  <conditionalFormatting sqref="A10">
    <cfRule type="expression" dxfId="1103" priority="19">
      <formula>AND(MONTH(DATE($G$1,1,ROW()-3))=1,WEEKDAY(DATE($G$1,1,ROW()-3),2)&gt;5)</formula>
    </cfRule>
    <cfRule type="expression" dxfId="1102" priority="21">
      <formula>MONTH(DATE($G$1,1,ROW()-3))&lt;&gt;1</formula>
    </cfRule>
  </conditionalFormatting>
  <conditionalFormatting sqref="A11">
    <cfRule type="expression" dxfId="1101" priority="22">
      <formula>AND(MONTH(DATE($G$1,1,ROW()-3))=1,WEEKDAY(DATE($G$1,1,ROW()-3),2)&gt;5)</formula>
    </cfRule>
    <cfRule type="expression" dxfId="1100" priority="24">
      <formula>MONTH(DATE($G$1,1,ROW()-3))&lt;&gt;1</formula>
    </cfRule>
  </conditionalFormatting>
  <conditionalFormatting sqref="A12">
    <cfRule type="expression" dxfId="1099" priority="25">
      <formula>AND(MONTH(DATE($G$1,1,ROW()-3))=1,WEEKDAY(DATE($G$1,1,ROW()-3),2)&gt;5)</formula>
    </cfRule>
    <cfRule type="expression" dxfId="1098" priority="27">
      <formula>MONTH(DATE($G$1,1,ROW()-3))&lt;&gt;1</formula>
    </cfRule>
  </conditionalFormatting>
  <conditionalFormatting sqref="A13">
    <cfRule type="expression" dxfId="1097" priority="28">
      <formula>AND(MONTH(DATE($G$1,1,ROW()-3))=1,WEEKDAY(DATE($G$1,1,ROW()-3),2)&gt;5)</formula>
    </cfRule>
    <cfRule type="expression" dxfId="1096" priority="30">
      <formula>MONTH(DATE($G$1,1,ROW()-3))&lt;&gt;1</formula>
    </cfRule>
  </conditionalFormatting>
  <conditionalFormatting sqref="A14">
    <cfRule type="expression" dxfId="1095" priority="31">
      <formula>AND(MONTH(DATE($G$1,1,ROW()-3))=1,WEEKDAY(DATE($G$1,1,ROW()-3),2)&gt;5)</formula>
    </cfRule>
    <cfRule type="expression" dxfId="1094" priority="33">
      <formula>MONTH(DATE($G$1,1,ROW()-3))&lt;&gt;1</formula>
    </cfRule>
  </conditionalFormatting>
  <conditionalFormatting sqref="A15">
    <cfRule type="expression" dxfId="1093" priority="34">
      <formula>AND(MONTH(DATE($G$1,1,ROW()-3))=1,WEEKDAY(DATE($G$1,1,ROW()-3),2)&gt;5)</formula>
    </cfRule>
    <cfRule type="expression" dxfId="1092" priority="36">
      <formula>MONTH(DATE($G$1,1,ROW()-3))&lt;&gt;1</formula>
    </cfRule>
  </conditionalFormatting>
  <conditionalFormatting sqref="A16">
    <cfRule type="expression" dxfId="1091" priority="37">
      <formula>AND(MONTH(DATE($G$1,1,ROW()-3))=1,WEEKDAY(DATE($G$1,1,ROW()-3),2)&gt;5)</formula>
    </cfRule>
    <cfRule type="expression" dxfId="1090" priority="39">
      <formula>MONTH(DATE($G$1,1,ROW()-3))&lt;&gt;1</formula>
    </cfRule>
  </conditionalFormatting>
  <conditionalFormatting sqref="A17">
    <cfRule type="expression" dxfId="1089" priority="40">
      <formula>AND(MONTH(DATE($G$1,1,ROW()-3))=1,WEEKDAY(DATE($G$1,1,ROW()-3),2)&gt;5)</formula>
    </cfRule>
    <cfRule type="expression" dxfId="1088" priority="42">
      <formula>MONTH(DATE($G$1,1,ROW()-3))&lt;&gt;1</formula>
    </cfRule>
  </conditionalFormatting>
  <conditionalFormatting sqref="A18">
    <cfRule type="expression" dxfId="1087" priority="43">
      <formula>AND(MONTH(DATE($G$1,1,ROW()-3))=1,WEEKDAY(DATE($G$1,1,ROW()-3),2)&gt;5)</formula>
    </cfRule>
    <cfRule type="expression" dxfId="1086" priority="45">
      <formula>MONTH(DATE($G$1,1,ROW()-3))&lt;&gt;1</formula>
    </cfRule>
  </conditionalFormatting>
  <conditionalFormatting sqref="A19">
    <cfRule type="expression" dxfId="1085" priority="46">
      <formula>AND(MONTH(DATE($G$1,1,ROW()-3))=1,WEEKDAY(DATE($G$1,1,ROW()-3),2)&gt;5)</formula>
    </cfRule>
    <cfRule type="expression" dxfId="1084" priority="48">
      <formula>MONTH(DATE($G$1,1,ROW()-3))&lt;&gt;1</formula>
    </cfRule>
  </conditionalFormatting>
  <conditionalFormatting sqref="A20">
    <cfRule type="expression" dxfId="1083" priority="49">
      <formula>AND(MONTH(DATE($G$1,1,ROW()-3))=1,WEEKDAY(DATE($G$1,1,ROW()-3),2)&gt;5)</formula>
    </cfRule>
    <cfRule type="expression" dxfId="1082" priority="51">
      <formula>MONTH(DATE($G$1,1,ROW()-3))&lt;&gt;1</formula>
    </cfRule>
  </conditionalFormatting>
  <conditionalFormatting sqref="A21">
    <cfRule type="expression" dxfId="1081" priority="52">
      <formula>AND(MONTH(DATE($G$1,1,ROW()-3))=1,WEEKDAY(DATE($G$1,1,ROW()-3),2)&gt;5)</formula>
    </cfRule>
    <cfRule type="expression" dxfId="1080" priority="54">
      <formula>MONTH(DATE($G$1,1,ROW()-3))&lt;&gt;1</formula>
    </cfRule>
  </conditionalFormatting>
  <conditionalFormatting sqref="A22">
    <cfRule type="expression" dxfId="1079" priority="55">
      <formula>AND(MONTH(DATE($G$1,1,ROW()-3))=1,WEEKDAY(DATE($G$1,1,ROW()-3),2)&gt;5)</formula>
    </cfRule>
    <cfRule type="expression" dxfId="1078" priority="57">
      <formula>MONTH(DATE($G$1,1,ROW()-3))&lt;&gt;1</formula>
    </cfRule>
  </conditionalFormatting>
  <conditionalFormatting sqref="A23">
    <cfRule type="expression" dxfId="1077" priority="58">
      <formula>AND(MONTH(DATE($G$1,1,ROW()-3))=1,WEEKDAY(DATE($G$1,1,ROW()-3),2)&gt;5)</formula>
    </cfRule>
    <cfRule type="expression" dxfId="1076" priority="60">
      <formula>MONTH(DATE($G$1,1,ROW()-3))&lt;&gt;1</formula>
    </cfRule>
  </conditionalFormatting>
  <conditionalFormatting sqref="A24">
    <cfRule type="expression" dxfId="1075" priority="61">
      <formula>AND(MONTH(DATE($G$1,1,ROW()-3))=1,WEEKDAY(DATE($G$1,1,ROW()-3),2)&gt;5)</formula>
    </cfRule>
    <cfRule type="expression" dxfId="1074" priority="63">
      <formula>MONTH(DATE($G$1,1,ROW()-3))&lt;&gt;1</formula>
    </cfRule>
  </conditionalFormatting>
  <conditionalFormatting sqref="A25">
    <cfRule type="expression" dxfId="1073" priority="64">
      <formula>AND(MONTH(DATE($G$1,1,ROW()-3))=1,WEEKDAY(DATE($G$1,1,ROW()-3),2)&gt;5)</formula>
    </cfRule>
    <cfRule type="expression" dxfId="1072" priority="66">
      <formula>MONTH(DATE($G$1,1,ROW()-3))&lt;&gt;1</formula>
    </cfRule>
  </conditionalFormatting>
  <conditionalFormatting sqref="A26">
    <cfRule type="expression" dxfId="1071" priority="67">
      <formula>AND(MONTH(DATE($G$1,1,ROW()-3))=1,WEEKDAY(DATE($G$1,1,ROW()-3),2)&gt;5)</formula>
    </cfRule>
    <cfRule type="expression" dxfId="1070" priority="69">
      <formula>MONTH(DATE($G$1,1,ROW()-3))&lt;&gt;1</formula>
    </cfRule>
  </conditionalFormatting>
  <conditionalFormatting sqref="A27">
    <cfRule type="expression" dxfId="1069" priority="70">
      <formula>AND(MONTH(DATE($G$1,1,ROW()-3))=1,WEEKDAY(DATE($G$1,1,ROW()-3),2)&gt;5)</formula>
    </cfRule>
    <cfRule type="expression" dxfId="1068" priority="72">
      <formula>MONTH(DATE($G$1,1,ROW()-3))&lt;&gt;1</formula>
    </cfRule>
  </conditionalFormatting>
  <conditionalFormatting sqref="A28">
    <cfRule type="expression" dxfId="1067" priority="73">
      <formula>AND(MONTH(DATE($G$1,1,ROW()-3))=1,WEEKDAY(DATE($G$1,1,ROW()-3),2)&gt;5)</formula>
    </cfRule>
    <cfRule type="expression" dxfId="1066" priority="75">
      <formula>MONTH(DATE($G$1,1,ROW()-3))&lt;&gt;1</formula>
    </cfRule>
  </conditionalFormatting>
  <conditionalFormatting sqref="A29">
    <cfRule type="expression" dxfId="1065" priority="76">
      <formula>AND(MONTH(DATE($G$1,1,ROW()-3))=1,WEEKDAY(DATE($G$1,1,ROW()-3),2)&gt;5)</formula>
    </cfRule>
    <cfRule type="expression" dxfId="1064" priority="78">
      <formula>MONTH(DATE($G$1,1,ROW()-3))&lt;&gt;1</formula>
    </cfRule>
  </conditionalFormatting>
  <conditionalFormatting sqref="A30">
    <cfRule type="expression" dxfId="1063" priority="79">
      <formula>AND(MONTH(DATE($G$1,1,ROW()-3))=1,WEEKDAY(DATE($G$1,1,ROW()-3),2)&gt;5)</formula>
    </cfRule>
    <cfRule type="expression" dxfId="1062" priority="81">
      <formula>MONTH(DATE($G$1,1,ROW()-3))&lt;&gt;1</formula>
    </cfRule>
  </conditionalFormatting>
  <conditionalFormatting sqref="A31">
    <cfRule type="expression" dxfId="1061" priority="82">
      <formula>AND(MONTH(DATE($G$1,1,ROW()-3))=1,WEEKDAY(DATE($G$1,1,ROW()-3),2)&gt;5)</formula>
    </cfRule>
    <cfRule type="expression" dxfId="1060" priority="84">
      <formula>MONTH(DATE($G$1,1,ROW()-3))&lt;&gt;1</formula>
    </cfRule>
  </conditionalFormatting>
  <conditionalFormatting sqref="A32">
    <cfRule type="expression" dxfId="1059" priority="85">
      <formula>AND(MONTH(DATE($G$1,1,ROW()-3))=1,WEEKDAY(DATE($G$1,1,ROW()-3),2)&gt;5)</formula>
    </cfRule>
    <cfRule type="expression" dxfId="1058" priority="87">
      <formula>MONTH(DATE($G$1,1,ROW()-3))&lt;&gt;1</formula>
    </cfRule>
  </conditionalFormatting>
  <conditionalFormatting sqref="A33">
    <cfRule type="expression" dxfId="1057" priority="88">
      <formula>AND(MONTH(DATE($G$1,1,ROW()-3))=1,WEEKDAY(DATE($G$1,1,ROW()-3),2)&gt;5)</formula>
    </cfRule>
    <cfRule type="expression" dxfId="1056" priority="90">
      <formula>MONTH(DATE($G$1,1,ROW()-3))&lt;&gt;1</formula>
    </cfRule>
  </conditionalFormatting>
  <conditionalFormatting sqref="A34">
    <cfRule type="expression" dxfId="1055" priority="91">
      <formula>AND(MONTH(DATE($G$1,1,ROW()-3))=1,WEEKDAY(DATE($G$1,1,ROW()-3),2)&gt;5)</formula>
    </cfRule>
    <cfRule type="expression" dxfId="1054" priority="93">
      <formula>MONTH(DATE($G$1,1,ROW()-3))&lt;&gt;1</formula>
    </cfRule>
  </conditionalFormatting>
  <conditionalFormatting sqref="B4">
    <cfRule type="expression" dxfId="1053" priority="94">
      <formula>AND(MONTH(DATE($G$1,2,ROW()-3))=2,WEEKDAY(DATE($G$1,2,ROW()-3),2)&gt;5)</formula>
    </cfRule>
    <cfRule type="expression" dxfId="1052" priority="96">
      <formula>MONTH(DATE($G$1,2,ROW()-3))&lt;&gt;2</formula>
    </cfRule>
  </conditionalFormatting>
  <conditionalFormatting sqref="B5">
    <cfRule type="expression" dxfId="1051" priority="97">
      <formula>AND(MONTH(DATE($G$1,2,ROW()-3))=2,WEEKDAY(DATE($G$1,2,ROW()-3),2)&gt;5)</formula>
    </cfRule>
    <cfRule type="expression" dxfId="1050" priority="99">
      <formula>MONTH(DATE($G$1,2,ROW()-3))&lt;&gt;2</formula>
    </cfRule>
  </conditionalFormatting>
  <conditionalFormatting sqref="B6">
    <cfRule type="expression" dxfId="1049" priority="100">
      <formula>AND(MONTH(DATE($G$1,2,ROW()-3))=2,WEEKDAY(DATE($G$1,2,ROW()-3),2)&gt;5)</formula>
    </cfRule>
    <cfRule type="expression" dxfId="1048" priority="102">
      <formula>MONTH(DATE($G$1,2,ROW()-3))&lt;&gt;2</formula>
    </cfRule>
  </conditionalFormatting>
  <conditionalFormatting sqref="B7">
    <cfRule type="expression" dxfId="1047" priority="103">
      <formula>AND(MONTH(DATE($G$1,2,ROW()-3))=2,WEEKDAY(DATE($G$1,2,ROW()-3),2)&gt;5)</formula>
    </cfRule>
    <cfRule type="expression" dxfId="1046" priority="105">
      <formula>MONTH(DATE($G$1,2,ROW()-3))&lt;&gt;2</formula>
    </cfRule>
  </conditionalFormatting>
  <conditionalFormatting sqref="B8">
    <cfRule type="expression" dxfId="1045" priority="106">
      <formula>AND(MONTH(DATE($G$1,2,ROW()-3))=2,WEEKDAY(DATE($G$1,2,ROW()-3),2)&gt;5)</formula>
    </cfRule>
    <cfRule type="expression" dxfId="1044" priority="108">
      <formula>MONTH(DATE($G$1,2,ROW()-3))&lt;&gt;2</formula>
    </cfRule>
  </conditionalFormatting>
  <conditionalFormatting sqref="B9">
    <cfRule type="expression" dxfId="1043" priority="109">
      <formula>AND(MONTH(DATE($G$1,2,ROW()-3))=2,WEEKDAY(DATE($G$1,2,ROW()-3),2)&gt;5)</formula>
    </cfRule>
    <cfRule type="expression" dxfId="1042" priority="111">
      <formula>MONTH(DATE($G$1,2,ROW()-3))&lt;&gt;2</formula>
    </cfRule>
  </conditionalFormatting>
  <conditionalFormatting sqref="B10">
    <cfRule type="expression" dxfId="1041" priority="112">
      <formula>AND(MONTH(DATE($G$1,2,ROW()-3))=2,WEEKDAY(DATE($G$1,2,ROW()-3),2)&gt;5)</formula>
    </cfRule>
    <cfRule type="expression" dxfId="1040" priority="114">
      <formula>MONTH(DATE($G$1,2,ROW()-3))&lt;&gt;2</formula>
    </cfRule>
  </conditionalFormatting>
  <conditionalFormatting sqref="B11">
    <cfRule type="expression" dxfId="1039" priority="115">
      <formula>AND(MONTH(DATE($G$1,2,ROW()-3))=2,WEEKDAY(DATE($G$1,2,ROW()-3),2)&gt;5)</formula>
    </cfRule>
    <cfRule type="expression" dxfId="1038" priority="117">
      <formula>MONTH(DATE($G$1,2,ROW()-3))&lt;&gt;2</formula>
    </cfRule>
  </conditionalFormatting>
  <conditionalFormatting sqref="B12">
    <cfRule type="expression" dxfId="1037" priority="118">
      <formula>AND(MONTH(DATE($G$1,2,ROW()-3))=2,WEEKDAY(DATE($G$1,2,ROW()-3),2)&gt;5)</formula>
    </cfRule>
    <cfRule type="expression" dxfId="1036" priority="120">
      <formula>MONTH(DATE($G$1,2,ROW()-3))&lt;&gt;2</formula>
    </cfRule>
  </conditionalFormatting>
  <conditionalFormatting sqref="B13">
    <cfRule type="expression" dxfId="1035" priority="121">
      <formula>AND(MONTH(DATE($G$1,2,ROW()-3))=2,WEEKDAY(DATE($G$1,2,ROW()-3),2)&gt;5)</formula>
    </cfRule>
    <cfRule type="expression" dxfId="1034" priority="123">
      <formula>MONTH(DATE($G$1,2,ROW()-3))&lt;&gt;2</formula>
    </cfRule>
  </conditionalFormatting>
  <conditionalFormatting sqref="B14">
    <cfRule type="expression" dxfId="1033" priority="124">
      <formula>AND(MONTH(DATE($G$1,2,ROW()-3))=2,WEEKDAY(DATE($G$1,2,ROW()-3),2)&gt;5)</formula>
    </cfRule>
    <cfRule type="expression" dxfId="1032" priority="126">
      <formula>MONTH(DATE($G$1,2,ROW()-3))&lt;&gt;2</formula>
    </cfRule>
  </conditionalFormatting>
  <conditionalFormatting sqref="B15">
    <cfRule type="expression" dxfId="1031" priority="127">
      <formula>AND(MONTH(DATE($G$1,2,ROW()-3))=2,WEEKDAY(DATE($G$1,2,ROW()-3),2)&gt;5)</formula>
    </cfRule>
    <cfRule type="expression" dxfId="1030" priority="129">
      <formula>MONTH(DATE($G$1,2,ROW()-3))&lt;&gt;2</formula>
    </cfRule>
  </conditionalFormatting>
  <conditionalFormatting sqref="B16">
    <cfRule type="expression" dxfId="1029" priority="130">
      <formula>AND(MONTH(DATE($G$1,2,ROW()-3))=2,WEEKDAY(DATE($G$1,2,ROW()-3),2)&gt;5)</formula>
    </cfRule>
    <cfRule type="expression" dxfId="1028" priority="132">
      <formula>MONTH(DATE($G$1,2,ROW()-3))&lt;&gt;2</formula>
    </cfRule>
  </conditionalFormatting>
  <conditionalFormatting sqref="B17">
    <cfRule type="expression" dxfId="1027" priority="133">
      <formula>AND(MONTH(DATE($G$1,2,ROW()-3))=2,WEEKDAY(DATE($G$1,2,ROW()-3),2)&gt;5)</formula>
    </cfRule>
    <cfRule type="expression" dxfId="1026" priority="135">
      <formula>MONTH(DATE($G$1,2,ROW()-3))&lt;&gt;2</formula>
    </cfRule>
  </conditionalFormatting>
  <conditionalFormatting sqref="B18">
    <cfRule type="expression" dxfId="1025" priority="136">
      <formula>AND(MONTH(DATE($G$1,2,ROW()-3))=2,WEEKDAY(DATE($G$1,2,ROW()-3),2)&gt;5)</formula>
    </cfRule>
    <cfRule type="expression" dxfId="1024" priority="138">
      <formula>MONTH(DATE($G$1,2,ROW()-3))&lt;&gt;2</formula>
    </cfRule>
  </conditionalFormatting>
  <conditionalFormatting sqref="B19">
    <cfRule type="expression" dxfId="1023" priority="139">
      <formula>AND(MONTH(DATE($G$1,2,ROW()-3))=2,WEEKDAY(DATE($G$1,2,ROW()-3),2)&gt;5)</formula>
    </cfRule>
    <cfRule type="expression" dxfId="1022" priority="141">
      <formula>MONTH(DATE($G$1,2,ROW()-3))&lt;&gt;2</formula>
    </cfRule>
  </conditionalFormatting>
  <conditionalFormatting sqref="B20">
    <cfRule type="expression" dxfId="1021" priority="142">
      <formula>AND(MONTH(DATE($G$1,2,ROW()-3))=2,WEEKDAY(DATE($G$1,2,ROW()-3),2)&gt;5)</formula>
    </cfRule>
    <cfRule type="expression" dxfId="1020" priority="144">
      <formula>MONTH(DATE($G$1,2,ROW()-3))&lt;&gt;2</formula>
    </cfRule>
  </conditionalFormatting>
  <conditionalFormatting sqref="B21">
    <cfRule type="expression" dxfId="1019" priority="145">
      <formula>AND(MONTH(DATE($G$1,2,ROW()-3))=2,WEEKDAY(DATE($G$1,2,ROW()-3),2)&gt;5)</formula>
    </cfRule>
    <cfRule type="expression" dxfId="1018" priority="147">
      <formula>MONTH(DATE($G$1,2,ROW()-3))&lt;&gt;2</formula>
    </cfRule>
  </conditionalFormatting>
  <conditionalFormatting sqref="B22">
    <cfRule type="expression" dxfId="1017" priority="148">
      <formula>AND(MONTH(DATE($G$1,2,ROW()-3))=2,WEEKDAY(DATE($G$1,2,ROW()-3),2)&gt;5)</formula>
    </cfRule>
    <cfRule type="expression" dxfId="1016" priority="150">
      <formula>MONTH(DATE($G$1,2,ROW()-3))&lt;&gt;2</formula>
    </cfRule>
  </conditionalFormatting>
  <conditionalFormatting sqref="B23">
    <cfRule type="expression" dxfId="1015" priority="151">
      <formula>AND(MONTH(DATE($G$1,2,ROW()-3))=2,WEEKDAY(DATE($G$1,2,ROW()-3),2)&gt;5)</formula>
    </cfRule>
    <cfRule type="expression" dxfId="1014" priority="153">
      <formula>MONTH(DATE($G$1,2,ROW()-3))&lt;&gt;2</formula>
    </cfRule>
  </conditionalFormatting>
  <conditionalFormatting sqref="B24">
    <cfRule type="expression" dxfId="1013" priority="154">
      <formula>AND(MONTH(DATE($G$1,2,ROW()-3))=2,WEEKDAY(DATE($G$1,2,ROW()-3),2)&gt;5)</formula>
    </cfRule>
    <cfRule type="expression" dxfId="1012" priority="156">
      <formula>MONTH(DATE($G$1,2,ROW()-3))&lt;&gt;2</formula>
    </cfRule>
  </conditionalFormatting>
  <conditionalFormatting sqref="B25">
    <cfRule type="expression" dxfId="1011" priority="157">
      <formula>AND(MONTH(DATE($G$1,2,ROW()-3))=2,WEEKDAY(DATE($G$1,2,ROW()-3),2)&gt;5)</formula>
    </cfRule>
    <cfRule type="expression" dxfId="1010" priority="159">
      <formula>MONTH(DATE($G$1,2,ROW()-3))&lt;&gt;2</formula>
    </cfRule>
  </conditionalFormatting>
  <conditionalFormatting sqref="B26">
    <cfRule type="expression" dxfId="1009" priority="160">
      <formula>AND(MONTH(DATE($G$1,2,ROW()-3))=2,WEEKDAY(DATE($G$1,2,ROW()-3),2)&gt;5)</formula>
    </cfRule>
    <cfRule type="expression" dxfId="1008" priority="162">
      <formula>MONTH(DATE($G$1,2,ROW()-3))&lt;&gt;2</formula>
    </cfRule>
  </conditionalFormatting>
  <conditionalFormatting sqref="B27">
    <cfRule type="expression" dxfId="1007" priority="163">
      <formula>AND(MONTH(DATE($G$1,2,ROW()-3))=2,WEEKDAY(DATE($G$1,2,ROW()-3),2)&gt;5)</formula>
    </cfRule>
    <cfRule type="expression" dxfId="1006" priority="165">
      <formula>MONTH(DATE($G$1,2,ROW()-3))&lt;&gt;2</formula>
    </cfRule>
  </conditionalFormatting>
  <conditionalFormatting sqref="B28">
    <cfRule type="expression" dxfId="1005" priority="166">
      <formula>AND(MONTH(DATE($G$1,2,ROW()-3))=2,WEEKDAY(DATE($G$1,2,ROW()-3),2)&gt;5)</formula>
    </cfRule>
    <cfRule type="expression" dxfId="1004" priority="168">
      <formula>MONTH(DATE($G$1,2,ROW()-3))&lt;&gt;2</formula>
    </cfRule>
  </conditionalFormatting>
  <conditionalFormatting sqref="B29">
    <cfRule type="expression" dxfId="1003" priority="169">
      <formula>AND(MONTH(DATE($G$1,2,ROW()-3))=2,WEEKDAY(DATE($G$1,2,ROW()-3),2)&gt;5)</formula>
    </cfRule>
    <cfRule type="expression" dxfId="1002" priority="171">
      <formula>MONTH(DATE($G$1,2,ROW()-3))&lt;&gt;2</formula>
    </cfRule>
  </conditionalFormatting>
  <conditionalFormatting sqref="B30">
    <cfRule type="expression" dxfId="1001" priority="172">
      <formula>AND(MONTH(DATE($G$1,2,ROW()-3))=2,WEEKDAY(DATE($G$1,2,ROW()-3),2)&gt;5)</formula>
    </cfRule>
    <cfRule type="expression" dxfId="1000" priority="174">
      <formula>MONTH(DATE($G$1,2,ROW()-3))&lt;&gt;2</formula>
    </cfRule>
  </conditionalFormatting>
  <conditionalFormatting sqref="B31">
    <cfRule type="expression" dxfId="999" priority="175">
      <formula>AND(MONTH(DATE($G$1,2,ROW()-3))=2,WEEKDAY(DATE($G$1,2,ROW()-3),2)&gt;5)</formula>
    </cfRule>
    <cfRule type="expression" dxfId="998" priority="177">
      <formula>MONTH(DATE($G$1,2,ROW()-3))&lt;&gt;2</formula>
    </cfRule>
  </conditionalFormatting>
  <conditionalFormatting sqref="B32">
    <cfRule type="expression" dxfId="997" priority="178">
      <formula>AND(MONTH(DATE($G$1,2,ROW()-3))=2,WEEKDAY(DATE($G$1,2,ROW()-3),2)&gt;5)</formula>
    </cfRule>
    <cfRule type="expression" dxfId="996" priority="180">
      <formula>MONTH(DATE($G$1,2,ROW()-3))&lt;&gt;2</formula>
    </cfRule>
  </conditionalFormatting>
  <conditionalFormatting sqref="B33">
    <cfRule type="expression" dxfId="995" priority="181">
      <formula>AND(MONTH(DATE($G$1,2,ROW()-3))=2,WEEKDAY(DATE($G$1,2,ROW()-3),2)&gt;5)</formula>
    </cfRule>
    <cfRule type="expression" dxfId="994" priority="183">
      <formula>MONTH(DATE($G$1,2,ROW()-3))&lt;&gt;2</formula>
    </cfRule>
  </conditionalFormatting>
  <conditionalFormatting sqref="B34">
    <cfRule type="expression" dxfId="993" priority="184">
      <formula>AND(MONTH(DATE($G$1,2,ROW()-3))=2,WEEKDAY(DATE($G$1,2,ROW()-3),2)&gt;5)</formula>
    </cfRule>
    <cfRule type="expression" dxfId="992" priority="186">
      <formula>MONTH(DATE($G$1,2,ROW()-3))&lt;&gt;2</formula>
    </cfRule>
  </conditionalFormatting>
  <conditionalFormatting sqref="C4">
    <cfRule type="expression" dxfId="991" priority="187">
      <formula>AND(MONTH(DATE($G$1,3,ROW()-3))=3,WEEKDAY(DATE($G$1,3,ROW()-3),2)&gt;5)</formula>
    </cfRule>
    <cfRule type="expression" dxfId="990" priority="189">
      <formula>MONTH(DATE($G$1,3,ROW()-3))&lt;&gt;3</formula>
    </cfRule>
  </conditionalFormatting>
  <conditionalFormatting sqref="C5">
    <cfRule type="expression" dxfId="989" priority="190">
      <formula>AND(MONTH(DATE($G$1,3,ROW()-3))=3,WEEKDAY(DATE($G$1,3,ROW()-3),2)&gt;5)</formula>
    </cfRule>
    <cfRule type="expression" dxfId="988" priority="192">
      <formula>MONTH(DATE($G$1,3,ROW()-3))&lt;&gt;3</formula>
    </cfRule>
  </conditionalFormatting>
  <conditionalFormatting sqref="C6">
    <cfRule type="expression" dxfId="987" priority="193">
      <formula>AND(MONTH(DATE($G$1,3,ROW()-3))=3,WEEKDAY(DATE($G$1,3,ROW()-3),2)&gt;5)</formula>
    </cfRule>
    <cfRule type="expression" dxfId="986" priority="195">
      <formula>MONTH(DATE($G$1,3,ROW()-3))&lt;&gt;3</formula>
    </cfRule>
  </conditionalFormatting>
  <conditionalFormatting sqref="C7">
    <cfRule type="expression" dxfId="985" priority="196">
      <formula>AND(MONTH(DATE($G$1,3,ROW()-3))=3,WEEKDAY(DATE($G$1,3,ROW()-3),2)&gt;5)</formula>
    </cfRule>
    <cfRule type="expression" dxfId="984" priority="198">
      <formula>MONTH(DATE($G$1,3,ROW()-3))&lt;&gt;3</formula>
    </cfRule>
  </conditionalFormatting>
  <conditionalFormatting sqref="C8">
    <cfRule type="expression" dxfId="983" priority="199">
      <formula>AND(MONTH(DATE($G$1,3,ROW()-3))=3,WEEKDAY(DATE($G$1,3,ROW()-3),2)&gt;5)</formula>
    </cfRule>
    <cfRule type="expression" dxfId="982" priority="201">
      <formula>MONTH(DATE($G$1,3,ROW()-3))&lt;&gt;3</formula>
    </cfRule>
  </conditionalFormatting>
  <conditionalFormatting sqref="C9">
    <cfRule type="expression" dxfId="981" priority="202">
      <formula>AND(MONTH(DATE($G$1,3,ROW()-3))=3,WEEKDAY(DATE($G$1,3,ROW()-3),2)&gt;5)</formula>
    </cfRule>
    <cfRule type="expression" dxfId="980" priority="204">
      <formula>MONTH(DATE($G$1,3,ROW()-3))&lt;&gt;3</formula>
    </cfRule>
  </conditionalFormatting>
  <conditionalFormatting sqref="C10">
    <cfRule type="expression" dxfId="979" priority="205">
      <formula>AND(MONTH(DATE($G$1,3,ROW()-3))=3,WEEKDAY(DATE($G$1,3,ROW()-3),2)&gt;5)</formula>
    </cfRule>
    <cfRule type="expression" dxfId="978" priority="207">
      <formula>MONTH(DATE($G$1,3,ROW()-3))&lt;&gt;3</formula>
    </cfRule>
  </conditionalFormatting>
  <conditionalFormatting sqref="C11">
    <cfRule type="expression" dxfId="977" priority="208">
      <formula>AND(MONTH(DATE($G$1,3,ROW()-3))=3,WEEKDAY(DATE($G$1,3,ROW()-3),2)&gt;5)</formula>
    </cfRule>
    <cfRule type="expression" dxfId="976" priority="210">
      <formula>MONTH(DATE($G$1,3,ROW()-3))&lt;&gt;3</formula>
    </cfRule>
  </conditionalFormatting>
  <conditionalFormatting sqref="C12">
    <cfRule type="expression" dxfId="975" priority="211">
      <formula>AND(MONTH(DATE($G$1,3,ROW()-3))=3,WEEKDAY(DATE($G$1,3,ROW()-3),2)&gt;5)</formula>
    </cfRule>
    <cfRule type="expression" dxfId="974" priority="213">
      <formula>MONTH(DATE($G$1,3,ROW()-3))&lt;&gt;3</formula>
    </cfRule>
  </conditionalFormatting>
  <conditionalFormatting sqref="C13">
    <cfRule type="expression" dxfId="973" priority="214">
      <formula>AND(MONTH(DATE($G$1,3,ROW()-3))=3,WEEKDAY(DATE($G$1,3,ROW()-3),2)&gt;5)</formula>
    </cfRule>
    <cfRule type="expression" dxfId="972" priority="216">
      <formula>MONTH(DATE($G$1,3,ROW()-3))&lt;&gt;3</formula>
    </cfRule>
  </conditionalFormatting>
  <conditionalFormatting sqref="C14">
    <cfRule type="expression" dxfId="971" priority="217">
      <formula>AND(MONTH(DATE($G$1,3,ROW()-3))=3,WEEKDAY(DATE($G$1,3,ROW()-3),2)&gt;5)</formula>
    </cfRule>
    <cfRule type="expression" dxfId="970" priority="219">
      <formula>MONTH(DATE($G$1,3,ROW()-3))&lt;&gt;3</formula>
    </cfRule>
  </conditionalFormatting>
  <conditionalFormatting sqref="C15">
    <cfRule type="expression" dxfId="969" priority="220">
      <formula>AND(MONTH(DATE($G$1,3,ROW()-3))=3,WEEKDAY(DATE($G$1,3,ROW()-3),2)&gt;5)</formula>
    </cfRule>
    <cfRule type="expression" dxfId="968" priority="222">
      <formula>MONTH(DATE($G$1,3,ROW()-3))&lt;&gt;3</formula>
    </cfRule>
  </conditionalFormatting>
  <conditionalFormatting sqref="C16">
    <cfRule type="expression" dxfId="967" priority="223">
      <formula>AND(MONTH(DATE($G$1,3,ROW()-3))=3,WEEKDAY(DATE($G$1,3,ROW()-3),2)&gt;5)</formula>
    </cfRule>
    <cfRule type="expression" dxfId="966" priority="225">
      <formula>MONTH(DATE($G$1,3,ROW()-3))&lt;&gt;3</formula>
    </cfRule>
  </conditionalFormatting>
  <conditionalFormatting sqref="C17">
    <cfRule type="expression" dxfId="965" priority="226">
      <formula>AND(MONTH(DATE($G$1,3,ROW()-3))=3,WEEKDAY(DATE($G$1,3,ROW()-3),2)&gt;5)</formula>
    </cfRule>
    <cfRule type="expression" dxfId="964" priority="228">
      <formula>MONTH(DATE($G$1,3,ROW()-3))&lt;&gt;3</formula>
    </cfRule>
  </conditionalFormatting>
  <conditionalFormatting sqref="C18">
    <cfRule type="expression" dxfId="963" priority="229">
      <formula>AND(MONTH(DATE($G$1,3,ROW()-3))=3,WEEKDAY(DATE($G$1,3,ROW()-3),2)&gt;5)</formula>
    </cfRule>
    <cfRule type="expression" dxfId="962" priority="231">
      <formula>MONTH(DATE($G$1,3,ROW()-3))&lt;&gt;3</formula>
    </cfRule>
  </conditionalFormatting>
  <conditionalFormatting sqref="C19">
    <cfRule type="expression" dxfId="961" priority="232">
      <formula>AND(MONTH(DATE($G$1,3,ROW()-3))=3,WEEKDAY(DATE($G$1,3,ROW()-3),2)&gt;5)</formula>
    </cfRule>
    <cfRule type="expression" dxfId="960" priority="234">
      <formula>MONTH(DATE($G$1,3,ROW()-3))&lt;&gt;3</formula>
    </cfRule>
  </conditionalFormatting>
  <conditionalFormatting sqref="C20">
    <cfRule type="expression" dxfId="959" priority="235">
      <formula>AND(MONTH(DATE($G$1,3,ROW()-3))=3,WEEKDAY(DATE($G$1,3,ROW()-3),2)&gt;5)</formula>
    </cfRule>
    <cfRule type="expression" dxfId="958" priority="237">
      <formula>MONTH(DATE($G$1,3,ROW()-3))&lt;&gt;3</formula>
    </cfRule>
  </conditionalFormatting>
  <conditionalFormatting sqref="C21">
    <cfRule type="expression" dxfId="957" priority="238">
      <formula>AND(MONTH(DATE($G$1,3,ROW()-3))=3,WEEKDAY(DATE($G$1,3,ROW()-3),2)&gt;5)</formula>
    </cfRule>
    <cfRule type="expression" dxfId="956" priority="240">
      <formula>MONTH(DATE($G$1,3,ROW()-3))&lt;&gt;3</formula>
    </cfRule>
  </conditionalFormatting>
  <conditionalFormatting sqref="C22">
    <cfRule type="expression" dxfId="955" priority="241">
      <formula>AND(MONTH(DATE($G$1,3,ROW()-3))=3,WEEKDAY(DATE($G$1,3,ROW()-3),2)&gt;5)</formula>
    </cfRule>
    <cfRule type="expression" dxfId="954" priority="243">
      <formula>MONTH(DATE($G$1,3,ROW()-3))&lt;&gt;3</formula>
    </cfRule>
  </conditionalFormatting>
  <conditionalFormatting sqref="C23">
    <cfRule type="expression" dxfId="953" priority="244">
      <formula>AND(MONTH(DATE($G$1,3,ROW()-3))=3,WEEKDAY(DATE($G$1,3,ROW()-3),2)&gt;5)</formula>
    </cfRule>
    <cfRule type="expression" dxfId="952" priority="246">
      <formula>MONTH(DATE($G$1,3,ROW()-3))&lt;&gt;3</formula>
    </cfRule>
  </conditionalFormatting>
  <conditionalFormatting sqref="C24">
    <cfRule type="expression" dxfId="951" priority="247">
      <formula>AND(MONTH(DATE($G$1,3,ROW()-3))=3,WEEKDAY(DATE($G$1,3,ROW()-3),2)&gt;5)</formula>
    </cfRule>
    <cfRule type="expression" dxfId="950" priority="249">
      <formula>MONTH(DATE($G$1,3,ROW()-3))&lt;&gt;3</formula>
    </cfRule>
  </conditionalFormatting>
  <conditionalFormatting sqref="C25">
    <cfRule type="expression" dxfId="949" priority="250">
      <formula>AND(MONTH(DATE($G$1,3,ROW()-3))=3,WEEKDAY(DATE($G$1,3,ROW()-3),2)&gt;5)</formula>
    </cfRule>
    <cfRule type="expression" dxfId="948" priority="252">
      <formula>MONTH(DATE($G$1,3,ROW()-3))&lt;&gt;3</formula>
    </cfRule>
  </conditionalFormatting>
  <conditionalFormatting sqref="C26">
    <cfRule type="expression" dxfId="947" priority="253">
      <formula>AND(MONTH(DATE($G$1,3,ROW()-3))=3,WEEKDAY(DATE($G$1,3,ROW()-3),2)&gt;5)</formula>
    </cfRule>
    <cfRule type="expression" dxfId="946" priority="255">
      <formula>MONTH(DATE($G$1,3,ROW()-3))&lt;&gt;3</formula>
    </cfRule>
  </conditionalFormatting>
  <conditionalFormatting sqref="C27">
    <cfRule type="expression" dxfId="945" priority="256">
      <formula>AND(MONTH(DATE($G$1,3,ROW()-3))=3,WEEKDAY(DATE($G$1,3,ROW()-3),2)&gt;5)</formula>
    </cfRule>
    <cfRule type="expression" dxfId="944" priority="258">
      <formula>MONTH(DATE($G$1,3,ROW()-3))&lt;&gt;3</formula>
    </cfRule>
  </conditionalFormatting>
  <conditionalFormatting sqref="C28">
    <cfRule type="expression" dxfId="943" priority="259">
      <formula>AND(MONTH(DATE($G$1,3,ROW()-3))=3,WEEKDAY(DATE($G$1,3,ROW()-3),2)&gt;5)</formula>
    </cfRule>
    <cfRule type="expression" dxfId="942" priority="261">
      <formula>MONTH(DATE($G$1,3,ROW()-3))&lt;&gt;3</formula>
    </cfRule>
  </conditionalFormatting>
  <conditionalFormatting sqref="C29">
    <cfRule type="expression" dxfId="941" priority="262">
      <formula>AND(MONTH(DATE($G$1,3,ROW()-3))=3,WEEKDAY(DATE($G$1,3,ROW()-3),2)&gt;5)</formula>
    </cfRule>
    <cfRule type="expression" dxfId="940" priority="264">
      <formula>MONTH(DATE($G$1,3,ROW()-3))&lt;&gt;3</formula>
    </cfRule>
  </conditionalFormatting>
  <conditionalFormatting sqref="C30">
    <cfRule type="expression" dxfId="939" priority="265">
      <formula>AND(MONTH(DATE($G$1,3,ROW()-3))=3,WEEKDAY(DATE($G$1,3,ROW()-3),2)&gt;5)</formula>
    </cfRule>
    <cfRule type="expression" dxfId="938" priority="267">
      <formula>MONTH(DATE($G$1,3,ROW()-3))&lt;&gt;3</formula>
    </cfRule>
  </conditionalFormatting>
  <conditionalFormatting sqref="C31">
    <cfRule type="expression" dxfId="937" priority="268">
      <formula>AND(MONTH(DATE($G$1,3,ROW()-3))=3,WEEKDAY(DATE($G$1,3,ROW()-3),2)&gt;5)</formula>
    </cfRule>
    <cfRule type="expression" dxfId="936" priority="270">
      <formula>MONTH(DATE($G$1,3,ROW()-3))&lt;&gt;3</formula>
    </cfRule>
  </conditionalFormatting>
  <conditionalFormatting sqref="C32">
    <cfRule type="expression" dxfId="935" priority="271">
      <formula>AND(MONTH(DATE($G$1,3,ROW()-3))=3,WEEKDAY(DATE($G$1,3,ROW()-3),2)&gt;5)</formula>
    </cfRule>
    <cfRule type="expression" dxfId="934" priority="273">
      <formula>MONTH(DATE($G$1,3,ROW()-3))&lt;&gt;3</formula>
    </cfRule>
  </conditionalFormatting>
  <conditionalFormatting sqref="C33">
    <cfRule type="expression" dxfId="933" priority="274">
      <formula>AND(MONTH(DATE($G$1,3,ROW()-3))=3,WEEKDAY(DATE($G$1,3,ROW()-3),2)&gt;5)</formula>
    </cfRule>
    <cfRule type="expression" dxfId="932" priority="276">
      <formula>MONTH(DATE($G$1,3,ROW()-3))&lt;&gt;3</formula>
    </cfRule>
  </conditionalFormatting>
  <conditionalFormatting sqref="C34">
    <cfRule type="expression" dxfId="931" priority="277">
      <formula>AND(MONTH(DATE($G$1,3,ROW()-3))=3,WEEKDAY(DATE($G$1,3,ROW()-3),2)&gt;5)</formula>
    </cfRule>
    <cfRule type="expression" dxfId="930" priority="279">
      <formula>MONTH(DATE($G$1,3,ROW()-3))&lt;&gt;3</formula>
    </cfRule>
  </conditionalFormatting>
  <conditionalFormatting sqref="D4">
    <cfRule type="expression" dxfId="929" priority="280">
      <formula>AND(MONTH(DATE($G$1,4,ROW()-3))=4,WEEKDAY(DATE($G$1,4,ROW()-3),2)&gt;5)</formula>
    </cfRule>
    <cfRule type="expression" dxfId="928" priority="282">
      <formula>MONTH(DATE($G$1,4,ROW()-3))&lt;&gt;4</formula>
    </cfRule>
  </conditionalFormatting>
  <conditionalFormatting sqref="D5">
    <cfRule type="expression" dxfId="927" priority="283">
      <formula>AND(MONTH(DATE($G$1,4,ROW()-3))=4,WEEKDAY(DATE($G$1,4,ROW()-3),2)&gt;5)</formula>
    </cfRule>
    <cfRule type="expression" dxfId="926" priority="285">
      <formula>MONTH(DATE($G$1,4,ROW()-3))&lt;&gt;4</formula>
    </cfRule>
  </conditionalFormatting>
  <conditionalFormatting sqref="D6">
    <cfRule type="expression" dxfId="925" priority="286">
      <formula>AND(MONTH(DATE($G$1,4,ROW()-3))=4,WEEKDAY(DATE($G$1,4,ROW()-3),2)&gt;5)</formula>
    </cfRule>
    <cfRule type="expression" dxfId="924" priority="288">
      <formula>MONTH(DATE($G$1,4,ROW()-3))&lt;&gt;4</formula>
    </cfRule>
  </conditionalFormatting>
  <conditionalFormatting sqref="D7">
    <cfRule type="expression" dxfId="923" priority="289">
      <formula>AND(MONTH(DATE($G$1,4,ROW()-3))=4,WEEKDAY(DATE($G$1,4,ROW()-3),2)&gt;5)</formula>
    </cfRule>
    <cfRule type="expression" dxfId="922" priority="291">
      <formula>MONTH(DATE($G$1,4,ROW()-3))&lt;&gt;4</formula>
    </cfRule>
  </conditionalFormatting>
  <conditionalFormatting sqref="D8">
    <cfRule type="expression" dxfId="921" priority="292">
      <formula>AND(MONTH(DATE($G$1,4,ROW()-3))=4,WEEKDAY(DATE($G$1,4,ROW()-3),2)&gt;5)</formula>
    </cfRule>
    <cfRule type="expression" dxfId="920" priority="294">
      <formula>MONTH(DATE($G$1,4,ROW()-3))&lt;&gt;4</formula>
    </cfRule>
  </conditionalFormatting>
  <conditionalFormatting sqref="D9">
    <cfRule type="expression" dxfId="919" priority="295">
      <formula>AND(MONTH(DATE($G$1,4,ROW()-3))=4,WEEKDAY(DATE($G$1,4,ROW()-3),2)&gt;5)</formula>
    </cfRule>
    <cfRule type="expression" dxfId="918" priority="297">
      <formula>MONTH(DATE($G$1,4,ROW()-3))&lt;&gt;4</formula>
    </cfRule>
  </conditionalFormatting>
  <conditionalFormatting sqref="D10">
    <cfRule type="expression" dxfId="917" priority="298">
      <formula>AND(MONTH(DATE($G$1,4,ROW()-3))=4,WEEKDAY(DATE($G$1,4,ROW()-3),2)&gt;5)</formula>
    </cfRule>
    <cfRule type="expression" dxfId="916" priority="300">
      <formula>MONTH(DATE($G$1,4,ROW()-3))&lt;&gt;4</formula>
    </cfRule>
  </conditionalFormatting>
  <conditionalFormatting sqref="D11">
    <cfRule type="expression" dxfId="915" priority="301">
      <formula>AND(MONTH(DATE($G$1,4,ROW()-3))=4,WEEKDAY(DATE($G$1,4,ROW()-3),2)&gt;5)</formula>
    </cfRule>
    <cfRule type="expression" dxfId="914" priority="303">
      <formula>MONTH(DATE($G$1,4,ROW()-3))&lt;&gt;4</formula>
    </cfRule>
  </conditionalFormatting>
  <conditionalFormatting sqref="D12">
    <cfRule type="expression" dxfId="913" priority="304">
      <formula>AND(MONTH(DATE($G$1,4,ROW()-3))=4,WEEKDAY(DATE($G$1,4,ROW()-3),2)&gt;5)</formula>
    </cfRule>
    <cfRule type="expression" dxfId="912" priority="306">
      <formula>MONTH(DATE($G$1,4,ROW()-3))&lt;&gt;4</formula>
    </cfRule>
  </conditionalFormatting>
  <conditionalFormatting sqref="D13">
    <cfRule type="expression" dxfId="911" priority="307">
      <formula>AND(MONTH(DATE($G$1,4,ROW()-3))=4,WEEKDAY(DATE($G$1,4,ROW()-3),2)&gt;5)</formula>
    </cfRule>
    <cfRule type="expression" dxfId="910" priority="309">
      <formula>MONTH(DATE($G$1,4,ROW()-3))&lt;&gt;4</formula>
    </cfRule>
  </conditionalFormatting>
  <conditionalFormatting sqref="D14">
    <cfRule type="expression" dxfId="909" priority="310">
      <formula>AND(MONTH(DATE($G$1,4,ROW()-3))=4,WEEKDAY(DATE($G$1,4,ROW()-3),2)&gt;5)</formula>
    </cfRule>
    <cfRule type="expression" dxfId="908" priority="312">
      <formula>MONTH(DATE($G$1,4,ROW()-3))&lt;&gt;4</formula>
    </cfRule>
  </conditionalFormatting>
  <conditionalFormatting sqref="D15">
    <cfRule type="expression" dxfId="907" priority="313">
      <formula>AND(MONTH(DATE($G$1,4,ROW()-3))=4,WEEKDAY(DATE($G$1,4,ROW()-3),2)&gt;5)</formula>
    </cfRule>
    <cfRule type="expression" dxfId="906" priority="315">
      <formula>MONTH(DATE($G$1,4,ROW()-3))&lt;&gt;4</formula>
    </cfRule>
  </conditionalFormatting>
  <conditionalFormatting sqref="D16">
    <cfRule type="expression" dxfId="905" priority="316">
      <formula>AND(MONTH(DATE($G$1,4,ROW()-3))=4,WEEKDAY(DATE($G$1,4,ROW()-3),2)&gt;5)</formula>
    </cfRule>
    <cfRule type="expression" dxfId="904" priority="318">
      <formula>MONTH(DATE($G$1,4,ROW()-3))&lt;&gt;4</formula>
    </cfRule>
  </conditionalFormatting>
  <conditionalFormatting sqref="D17">
    <cfRule type="expression" dxfId="903" priority="319">
      <formula>AND(MONTH(DATE($G$1,4,ROW()-3))=4,WEEKDAY(DATE($G$1,4,ROW()-3),2)&gt;5)</formula>
    </cfRule>
    <cfRule type="expression" dxfId="902" priority="321">
      <formula>MONTH(DATE($G$1,4,ROW()-3))&lt;&gt;4</formula>
    </cfRule>
  </conditionalFormatting>
  <conditionalFormatting sqref="D18">
    <cfRule type="expression" dxfId="901" priority="322">
      <formula>AND(MONTH(DATE($G$1,4,ROW()-3))=4,WEEKDAY(DATE($G$1,4,ROW()-3),2)&gt;5)</formula>
    </cfRule>
    <cfRule type="expression" dxfId="900" priority="324">
      <formula>MONTH(DATE($G$1,4,ROW()-3))&lt;&gt;4</formula>
    </cfRule>
  </conditionalFormatting>
  <conditionalFormatting sqref="D19">
    <cfRule type="expression" dxfId="899" priority="325">
      <formula>AND(MONTH(DATE($G$1,4,ROW()-3))=4,WEEKDAY(DATE($G$1,4,ROW()-3),2)&gt;5)</formula>
    </cfRule>
    <cfRule type="expression" dxfId="898" priority="327">
      <formula>MONTH(DATE($G$1,4,ROW()-3))&lt;&gt;4</formula>
    </cfRule>
  </conditionalFormatting>
  <conditionalFormatting sqref="D20">
    <cfRule type="expression" dxfId="897" priority="328">
      <formula>AND(MONTH(DATE($G$1,4,ROW()-3))=4,WEEKDAY(DATE($G$1,4,ROW()-3),2)&gt;5)</formula>
    </cfRule>
    <cfRule type="expression" dxfId="896" priority="330">
      <formula>MONTH(DATE($G$1,4,ROW()-3))&lt;&gt;4</formula>
    </cfRule>
  </conditionalFormatting>
  <conditionalFormatting sqref="D21">
    <cfRule type="expression" dxfId="895" priority="331">
      <formula>AND(MONTH(DATE($G$1,4,ROW()-3))=4,WEEKDAY(DATE($G$1,4,ROW()-3),2)&gt;5)</formula>
    </cfRule>
    <cfRule type="expression" dxfId="894" priority="333">
      <formula>MONTH(DATE($G$1,4,ROW()-3))&lt;&gt;4</formula>
    </cfRule>
  </conditionalFormatting>
  <conditionalFormatting sqref="D22">
    <cfRule type="expression" dxfId="893" priority="334">
      <formula>AND(MONTH(DATE($G$1,4,ROW()-3))=4,WEEKDAY(DATE($G$1,4,ROW()-3),2)&gt;5)</formula>
    </cfRule>
    <cfRule type="expression" dxfId="892" priority="336">
      <formula>MONTH(DATE($G$1,4,ROW()-3))&lt;&gt;4</formula>
    </cfRule>
  </conditionalFormatting>
  <conditionalFormatting sqref="D23">
    <cfRule type="expression" dxfId="891" priority="337">
      <formula>AND(MONTH(DATE($G$1,4,ROW()-3))=4,WEEKDAY(DATE($G$1,4,ROW()-3),2)&gt;5)</formula>
    </cfRule>
    <cfRule type="expression" dxfId="890" priority="339">
      <formula>MONTH(DATE($G$1,4,ROW()-3))&lt;&gt;4</formula>
    </cfRule>
  </conditionalFormatting>
  <conditionalFormatting sqref="D24">
    <cfRule type="expression" dxfId="889" priority="340">
      <formula>AND(MONTH(DATE($G$1,4,ROW()-3))=4,WEEKDAY(DATE($G$1,4,ROW()-3),2)&gt;5)</formula>
    </cfRule>
    <cfRule type="expression" dxfId="888" priority="342">
      <formula>MONTH(DATE($G$1,4,ROW()-3))&lt;&gt;4</formula>
    </cfRule>
  </conditionalFormatting>
  <conditionalFormatting sqref="D25">
    <cfRule type="expression" dxfId="887" priority="343">
      <formula>AND(MONTH(DATE($G$1,4,ROW()-3))=4,WEEKDAY(DATE($G$1,4,ROW()-3),2)&gt;5)</formula>
    </cfRule>
    <cfRule type="expression" dxfId="886" priority="345">
      <formula>MONTH(DATE($G$1,4,ROW()-3))&lt;&gt;4</formula>
    </cfRule>
  </conditionalFormatting>
  <conditionalFormatting sqref="D26">
    <cfRule type="expression" dxfId="885" priority="346">
      <formula>AND(MONTH(DATE($G$1,4,ROW()-3))=4,WEEKDAY(DATE($G$1,4,ROW()-3),2)&gt;5)</formula>
    </cfRule>
    <cfRule type="expression" dxfId="884" priority="348">
      <formula>MONTH(DATE($G$1,4,ROW()-3))&lt;&gt;4</formula>
    </cfRule>
  </conditionalFormatting>
  <conditionalFormatting sqref="D27">
    <cfRule type="expression" dxfId="883" priority="349">
      <formula>AND(MONTH(DATE($G$1,4,ROW()-3))=4,WEEKDAY(DATE($G$1,4,ROW()-3),2)&gt;5)</formula>
    </cfRule>
    <cfRule type="expression" dxfId="882" priority="351">
      <formula>MONTH(DATE($G$1,4,ROW()-3))&lt;&gt;4</formula>
    </cfRule>
  </conditionalFormatting>
  <conditionalFormatting sqref="D28">
    <cfRule type="expression" dxfId="881" priority="352">
      <formula>AND(MONTH(DATE($G$1,4,ROW()-3))=4,WEEKDAY(DATE($G$1,4,ROW()-3),2)&gt;5)</formula>
    </cfRule>
    <cfRule type="expression" dxfId="880" priority="354">
      <formula>MONTH(DATE($G$1,4,ROW()-3))&lt;&gt;4</formula>
    </cfRule>
  </conditionalFormatting>
  <conditionalFormatting sqref="D29">
    <cfRule type="expression" dxfId="879" priority="355">
      <formula>AND(MONTH(DATE($G$1,4,ROW()-3))=4,WEEKDAY(DATE($G$1,4,ROW()-3),2)&gt;5)</formula>
    </cfRule>
    <cfRule type="expression" dxfId="878" priority="357">
      <formula>MONTH(DATE($G$1,4,ROW()-3))&lt;&gt;4</formula>
    </cfRule>
  </conditionalFormatting>
  <conditionalFormatting sqref="D30">
    <cfRule type="expression" dxfId="877" priority="358">
      <formula>AND(MONTH(DATE($G$1,4,ROW()-3))=4,WEEKDAY(DATE($G$1,4,ROW()-3),2)&gt;5)</formula>
    </cfRule>
    <cfRule type="expression" dxfId="876" priority="360">
      <formula>MONTH(DATE($G$1,4,ROW()-3))&lt;&gt;4</formula>
    </cfRule>
  </conditionalFormatting>
  <conditionalFormatting sqref="D31">
    <cfRule type="expression" dxfId="875" priority="361">
      <formula>AND(MONTH(DATE($G$1,4,ROW()-3))=4,WEEKDAY(DATE($G$1,4,ROW()-3),2)&gt;5)</formula>
    </cfRule>
    <cfRule type="expression" dxfId="874" priority="363">
      <formula>MONTH(DATE($G$1,4,ROW()-3))&lt;&gt;4</formula>
    </cfRule>
  </conditionalFormatting>
  <conditionalFormatting sqref="D32">
    <cfRule type="expression" dxfId="873" priority="364">
      <formula>AND(MONTH(DATE($G$1,4,ROW()-3))=4,WEEKDAY(DATE($G$1,4,ROW()-3),2)&gt;5)</formula>
    </cfRule>
    <cfRule type="expression" dxfId="872" priority="366">
      <formula>MONTH(DATE($G$1,4,ROW()-3))&lt;&gt;4</formula>
    </cfRule>
  </conditionalFormatting>
  <conditionalFormatting sqref="D33">
    <cfRule type="expression" dxfId="871" priority="367">
      <formula>AND(MONTH(DATE($G$1,4,ROW()-3))=4,WEEKDAY(DATE($G$1,4,ROW()-3),2)&gt;5)</formula>
    </cfRule>
    <cfRule type="expression" dxfId="870" priority="369">
      <formula>MONTH(DATE($G$1,4,ROW()-3))&lt;&gt;4</formula>
    </cfRule>
  </conditionalFormatting>
  <conditionalFormatting sqref="D34">
    <cfRule type="expression" dxfId="869" priority="370">
      <formula>AND(MONTH(DATE($G$1,4,ROW()-3))=4,WEEKDAY(DATE($G$1,4,ROW()-3),2)&gt;5)</formula>
    </cfRule>
    <cfRule type="expression" dxfId="868" priority="372">
      <formula>MONTH(DATE($G$1,4,ROW()-3))&lt;&gt;4</formula>
    </cfRule>
  </conditionalFormatting>
  <conditionalFormatting sqref="E4">
    <cfRule type="expression" dxfId="867" priority="373">
      <formula>AND(MONTH(DATE($G$1,5,ROW()-3))=5,WEEKDAY(DATE($G$1,5,ROW()-3),2)&gt;5)</formula>
    </cfRule>
    <cfRule type="expression" dxfId="866" priority="375">
      <formula>MONTH(DATE($G$1,5,ROW()-3))&lt;&gt;5</formula>
    </cfRule>
  </conditionalFormatting>
  <conditionalFormatting sqref="E5">
    <cfRule type="expression" dxfId="865" priority="376">
      <formula>AND(MONTH(DATE($G$1,5,ROW()-3))=5,WEEKDAY(DATE($G$1,5,ROW()-3),2)&gt;5)</formula>
    </cfRule>
    <cfRule type="expression" dxfId="864" priority="378">
      <formula>MONTH(DATE($G$1,5,ROW()-3))&lt;&gt;5</formula>
    </cfRule>
  </conditionalFormatting>
  <conditionalFormatting sqref="E6">
    <cfRule type="expression" dxfId="863" priority="379">
      <formula>AND(MONTH(DATE($G$1,5,ROW()-3))=5,WEEKDAY(DATE($G$1,5,ROW()-3),2)&gt;5)</formula>
    </cfRule>
    <cfRule type="expression" dxfId="862" priority="381">
      <formula>MONTH(DATE($G$1,5,ROW()-3))&lt;&gt;5</formula>
    </cfRule>
  </conditionalFormatting>
  <conditionalFormatting sqref="E7">
    <cfRule type="expression" dxfId="861" priority="382">
      <formula>AND(MONTH(DATE($G$1,5,ROW()-3))=5,WEEKDAY(DATE($G$1,5,ROW()-3),2)&gt;5)</formula>
    </cfRule>
    <cfRule type="expression" dxfId="860" priority="384">
      <formula>MONTH(DATE($G$1,5,ROW()-3))&lt;&gt;5</formula>
    </cfRule>
  </conditionalFormatting>
  <conditionalFormatting sqref="E8">
    <cfRule type="expression" dxfId="859" priority="385">
      <formula>AND(MONTH(DATE($G$1,5,ROW()-3))=5,WEEKDAY(DATE($G$1,5,ROW()-3),2)&gt;5)</formula>
    </cfRule>
    <cfRule type="expression" dxfId="858" priority="387">
      <formula>MONTH(DATE($G$1,5,ROW()-3))&lt;&gt;5</formula>
    </cfRule>
  </conditionalFormatting>
  <conditionalFormatting sqref="E9">
    <cfRule type="expression" dxfId="857" priority="388">
      <formula>AND(MONTH(DATE($G$1,5,ROW()-3))=5,WEEKDAY(DATE($G$1,5,ROW()-3),2)&gt;5)</formula>
    </cfRule>
    <cfRule type="expression" dxfId="856" priority="390">
      <formula>MONTH(DATE($G$1,5,ROW()-3))&lt;&gt;5</formula>
    </cfRule>
  </conditionalFormatting>
  <conditionalFormatting sqref="E10">
    <cfRule type="expression" dxfId="855" priority="391">
      <formula>AND(MONTH(DATE($G$1,5,ROW()-3))=5,WEEKDAY(DATE($G$1,5,ROW()-3),2)&gt;5)</formula>
    </cfRule>
    <cfRule type="expression" dxfId="854" priority="393">
      <formula>MONTH(DATE($G$1,5,ROW()-3))&lt;&gt;5</formula>
    </cfRule>
  </conditionalFormatting>
  <conditionalFormatting sqref="E11">
    <cfRule type="expression" dxfId="853" priority="394">
      <formula>AND(MONTH(DATE($G$1,5,ROW()-3))=5,WEEKDAY(DATE($G$1,5,ROW()-3),2)&gt;5)</formula>
    </cfRule>
    <cfRule type="expression" dxfId="852" priority="396">
      <formula>MONTH(DATE($G$1,5,ROW()-3))&lt;&gt;5</formula>
    </cfRule>
  </conditionalFormatting>
  <conditionalFormatting sqref="E12">
    <cfRule type="expression" dxfId="851" priority="397">
      <formula>AND(MONTH(DATE($G$1,5,ROW()-3))=5,WEEKDAY(DATE($G$1,5,ROW()-3),2)&gt;5)</formula>
    </cfRule>
    <cfRule type="expression" dxfId="850" priority="399">
      <formula>MONTH(DATE($G$1,5,ROW()-3))&lt;&gt;5</formula>
    </cfRule>
  </conditionalFormatting>
  <conditionalFormatting sqref="E13">
    <cfRule type="expression" dxfId="849" priority="400">
      <formula>AND(MONTH(DATE($G$1,5,ROW()-3))=5,WEEKDAY(DATE($G$1,5,ROW()-3),2)&gt;5)</formula>
    </cfRule>
    <cfRule type="expression" dxfId="848" priority="402">
      <formula>MONTH(DATE($G$1,5,ROW()-3))&lt;&gt;5</formula>
    </cfRule>
  </conditionalFormatting>
  <conditionalFormatting sqref="E14">
    <cfRule type="expression" dxfId="847" priority="403">
      <formula>AND(MONTH(DATE($G$1,5,ROW()-3))=5,WEEKDAY(DATE($G$1,5,ROW()-3),2)&gt;5)</formula>
    </cfRule>
    <cfRule type="expression" dxfId="846" priority="405">
      <formula>MONTH(DATE($G$1,5,ROW()-3))&lt;&gt;5</formula>
    </cfRule>
  </conditionalFormatting>
  <conditionalFormatting sqref="E15">
    <cfRule type="expression" dxfId="845" priority="406">
      <formula>AND(MONTH(DATE($G$1,5,ROW()-3))=5,WEEKDAY(DATE($G$1,5,ROW()-3),2)&gt;5)</formula>
    </cfRule>
    <cfRule type="expression" dxfId="844" priority="408">
      <formula>MONTH(DATE($G$1,5,ROW()-3))&lt;&gt;5</formula>
    </cfRule>
  </conditionalFormatting>
  <conditionalFormatting sqref="E16">
    <cfRule type="expression" dxfId="843" priority="409">
      <formula>AND(MONTH(DATE($G$1,5,ROW()-3))=5,WEEKDAY(DATE($G$1,5,ROW()-3),2)&gt;5)</formula>
    </cfRule>
    <cfRule type="expression" dxfId="842" priority="411">
      <formula>MONTH(DATE($G$1,5,ROW()-3))&lt;&gt;5</formula>
    </cfRule>
  </conditionalFormatting>
  <conditionalFormatting sqref="E17">
    <cfRule type="expression" dxfId="841" priority="412">
      <formula>AND(MONTH(DATE($G$1,5,ROW()-3))=5,WEEKDAY(DATE($G$1,5,ROW()-3),2)&gt;5)</formula>
    </cfRule>
    <cfRule type="expression" dxfId="840" priority="414">
      <formula>MONTH(DATE($G$1,5,ROW()-3))&lt;&gt;5</formula>
    </cfRule>
  </conditionalFormatting>
  <conditionalFormatting sqref="E18">
    <cfRule type="expression" dxfId="839" priority="415">
      <formula>AND(MONTH(DATE($G$1,5,ROW()-3))=5,WEEKDAY(DATE($G$1,5,ROW()-3),2)&gt;5)</formula>
    </cfRule>
    <cfRule type="expression" dxfId="838" priority="417">
      <formula>MONTH(DATE($G$1,5,ROW()-3))&lt;&gt;5</formula>
    </cfRule>
  </conditionalFormatting>
  <conditionalFormatting sqref="E19">
    <cfRule type="expression" dxfId="837" priority="418">
      <formula>AND(MONTH(DATE($G$1,5,ROW()-3))=5,WEEKDAY(DATE($G$1,5,ROW()-3),2)&gt;5)</formula>
    </cfRule>
    <cfRule type="expression" dxfId="836" priority="420">
      <formula>MONTH(DATE($G$1,5,ROW()-3))&lt;&gt;5</formula>
    </cfRule>
  </conditionalFormatting>
  <conditionalFormatting sqref="E20">
    <cfRule type="expression" dxfId="835" priority="421">
      <formula>AND(MONTH(DATE($G$1,5,ROW()-3))=5,WEEKDAY(DATE($G$1,5,ROW()-3),2)&gt;5)</formula>
    </cfRule>
    <cfRule type="expression" dxfId="834" priority="423">
      <formula>MONTH(DATE($G$1,5,ROW()-3))&lt;&gt;5</formula>
    </cfRule>
  </conditionalFormatting>
  <conditionalFormatting sqref="E21">
    <cfRule type="expression" dxfId="833" priority="424">
      <formula>AND(MONTH(DATE($G$1,5,ROW()-3))=5,WEEKDAY(DATE($G$1,5,ROW()-3),2)&gt;5)</formula>
    </cfRule>
    <cfRule type="expression" dxfId="832" priority="426">
      <formula>MONTH(DATE($G$1,5,ROW()-3))&lt;&gt;5</formula>
    </cfRule>
  </conditionalFormatting>
  <conditionalFormatting sqref="E22">
    <cfRule type="expression" dxfId="831" priority="427">
      <formula>AND(MONTH(DATE($G$1,5,ROW()-3))=5,WEEKDAY(DATE($G$1,5,ROW()-3),2)&gt;5)</formula>
    </cfRule>
    <cfRule type="expression" dxfId="830" priority="429">
      <formula>MONTH(DATE($G$1,5,ROW()-3))&lt;&gt;5</formula>
    </cfRule>
  </conditionalFormatting>
  <conditionalFormatting sqref="E23">
    <cfRule type="expression" dxfId="829" priority="430">
      <formula>AND(MONTH(DATE($G$1,5,ROW()-3))=5,WEEKDAY(DATE($G$1,5,ROW()-3),2)&gt;5)</formula>
    </cfRule>
    <cfRule type="expression" dxfId="828" priority="432">
      <formula>MONTH(DATE($G$1,5,ROW()-3))&lt;&gt;5</formula>
    </cfRule>
  </conditionalFormatting>
  <conditionalFormatting sqref="E24">
    <cfRule type="expression" dxfId="827" priority="433">
      <formula>AND(MONTH(DATE($G$1,5,ROW()-3))=5,WEEKDAY(DATE($G$1,5,ROW()-3),2)&gt;5)</formula>
    </cfRule>
    <cfRule type="expression" dxfId="826" priority="435">
      <formula>MONTH(DATE($G$1,5,ROW()-3))&lt;&gt;5</formula>
    </cfRule>
  </conditionalFormatting>
  <conditionalFormatting sqref="E25">
    <cfRule type="expression" dxfId="825" priority="436">
      <formula>AND(MONTH(DATE($G$1,5,ROW()-3))=5,WEEKDAY(DATE($G$1,5,ROW()-3),2)&gt;5)</formula>
    </cfRule>
    <cfRule type="expression" dxfId="824" priority="438">
      <formula>MONTH(DATE($G$1,5,ROW()-3))&lt;&gt;5</formula>
    </cfRule>
  </conditionalFormatting>
  <conditionalFormatting sqref="E26">
    <cfRule type="expression" dxfId="823" priority="439">
      <formula>AND(MONTH(DATE($G$1,5,ROW()-3))=5,WEEKDAY(DATE($G$1,5,ROW()-3),2)&gt;5)</formula>
    </cfRule>
    <cfRule type="expression" dxfId="822" priority="441">
      <formula>MONTH(DATE($G$1,5,ROW()-3))&lt;&gt;5</formula>
    </cfRule>
  </conditionalFormatting>
  <conditionalFormatting sqref="E27">
    <cfRule type="expression" dxfId="821" priority="442">
      <formula>AND(MONTH(DATE($G$1,5,ROW()-3))=5,WEEKDAY(DATE($G$1,5,ROW()-3),2)&gt;5)</formula>
    </cfRule>
    <cfRule type="expression" dxfId="820" priority="444">
      <formula>MONTH(DATE($G$1,5,ROW()-3))&lt;&gt;5</formula>
    </cfRule>
  </conditionalFormatting>
  <conditionalFormatting sqref="E28">
    <cfRule type="expression" dxfId="819" priority="445">
      <formula>AND(MONTH(DATE($G$1,5,ROW()-3))=5,WEEKDAY(DATE($G$1,5,ROW()-3),2)&gt;5)</formula>
    </cfRule>
    <cfRule type="expression" dxfId="818" priority="447">
      <formula>MONTH(DATE($G$1,5,ROW()-3))&lt;&gt;5</formula>
    </cfRule>
  </conditionalFormatting>
  <conditionalFormatting sqref="E29">
    <cfRule type="expression" dxfId="817" priority="448">
      <formula>AND(MONTH(DATE($G$1,5,ROW()-3))=5,WEEKDAY(DATE($G$1,5,ROW()-3),2)&gt;5)</formula>
    </cfRule>
    <cfRule type="expression" dxfId="816" priority="450">
      <formula>MONTH(DATE($G$1,5,ROW()-3))&lt;&gt;5</formula>
    </cfRule>
  </conditionalFormatting>
  <conditionalFormatting sqref="E30">
    <cfRule type="expression" dxfId="815" priority="451">
      <formula>AND(MONTH(DATE($G$1,5,ROW()-3))=5,WEEKDAY(DATE($G$1,5,ROW()-3),2)&gt;5)</formula>
    </cfRule>
    <cfRule type="expression" dxfId="814" priority="453">
      <formula>MONTH(DATE($G$1,5,ROW()-3))&lt;&gt;5</formula>
    </cfRule>
  </conditionalFormatting>
  <conditionalFormatting sqref="E31">
    <cfRule type="expression" dxfId="813" priority="454">
      <formula>AND(MONTH(DATE($G$1,5,ROW()-3))=5,WEEKDAY(DATE($G$1,5,ROW()-3),2)&gt;5)</formula>
    </cfRule>
    <cfRule type="expression" dxfId="812" priority="456">
      <formula>MONTH(DATE($G$1,5,ROW()-3))&lt;&gt;5</formula>
    </cfRule>
  </conditionalFormatting>
  <conditionalFormatting sqref="E32">
    <cfRule type="expression" dxfId="811" priority="457">
      <formula>AND(MONTH(DATE($G$1,5,ROW()-3))=5,WEEKDAY(DATE($G$1,5,ROW()-3),2)&gt;5)</formula>
    </cfRule>
    <cfRule type="expression" dxfId="810" priority="459">
      <formula>MONTH(DATE($G$1,5,ROW()-3))&lt;&gt;5</formula>
    </cfRule>
  </conditionalFormatting>
  <conditionalFormatting sqref="E33">
    <cfRule type="expression" dxfId="809" priority="460">
      <formula>AND(MONTH(DATE($G$1,5,ROW()-3))=5,WEEKDAY(DATE($G$1,5,ROW()-3),2)&gt;5)</formula>
    </cfRule>
    <cfRule type="expression" dxfId="808" priority="462">
      <formula>MONTH(DATE($G$1,5,ROW()-3))&lt;&gt;5</formula>
    </cfRule>
  </conditionalFormatting>
  <conditionalFormatting sqref="E34">
    <cfRule type="expression" dxfId="807" priority="463">
      <formula>AND(MONTH(DATE($G$1,5,ROW()-3))=5,WEEKDAY(DATE($G$1,5,ROW()-3),2)&gt;5)</formula>
    </cfRule>
    <cfRule type="expression" dxfId="806" priority="465">
      <formula>MONTH(DATE($G$1,5,ROW()-3))&lt;&gt;5</formula>
    </cfRule>
  </conditionalFormatting>
  <conditionalFormatting sqref="F4">
    <cfRule type="expression" dxfId="805" priority="466">
      <formula>AND(MONTH(DATE($G$1,6,ROW()-3))=6,WEEKDAY(DATE($G$1,6,ROW()-3),2)&gt;5)</formula>
    </cfRule>
    <cfRule type="expression" dxfId="804" priority="468">
      <formula>MONTH(DATE($G$1,6,ROW()-3))&lt;&gt;6</formula>
    </cfRule>
  </conditionalFormatting>
  <conditionalFormatting sqref="F5">
    <cfRule type="expression" dxfId="803" priority="469">
      <formula>AND(MONTH(DATE($G$1,6,ROW()-3))=6,WEEKDAY(DATE($G$1,6,ROW()-3),2)&gt;5)</formula>
    </cfRule>
    <cfRule type="expression" dxfId="802" priority="471">
      <formula>MONTH(DATE($G$1,6,ROW()-3))&lt;&gt;6</formula>
    </cfRule>
  </conditionalFormatting>
  <conditionalFormatting sqref="F6">
    <cfRule type="expression" dxfId="801" priority="472">
      <formula>AND(MONTH(DATE($G$1,6,ROW()-3))=6,WEEKDAY(DATE($G$1,6,ROW()-3),2)&gt;5)</formula>
    </cfRule>
    <cfRule type="expression" dxfId="800" priority="474">
      <formula>MONTH(DATE($G$1,6,ROW()-3))&lt;&gt;6</formula>
    </cfRule>
  </conditionalFormatting>
  <conditionalFormatting sqref="F7">
    <cfRule type="expression" dxfId="799" priority="475">
      <formula>AND(MONTH(DATE($G$1,6,ROW()-3))=6,WEEKDAY(DATE($G$1,6,ROW()-3),2)&gt;5)</formula>
    </cfRule>
    <cfRule type="expression" dxfId="798" priority="477">
      <formula>MONTH(DATE($G$1,6,ROW()-3))&lt;&gt;6</formula>
    </cfRule>
  </conditionalFormatting>
  <conditionalFormatting sqref="F8">
    <cfRule type="expression" dxfId="797" priority="478">
      <formula>AND(MONTH(DATE($G$1,6,ROW()-3))=6,WEEKDAY(DATE($G$1,6,ROW()-3),2)&gt;5)</formula>
    </cfRule>
    <cfRule type="expression" dxfId="796" priority="480">
      <formula>MONTH(DATE($G$1,6,ROW()-3))&lt;&gt;6</formula>
    </cfRule>
  </conditionalFormatting>
  <conditionalFormatting sqref="F9">
    <cfRule type="expression" dxfId="795" priority="481">
      <formula>AND(MONTH(DATE($G$1,6,ROW()-3))=6,WEEKDAY(DATE($G$1,6,ROW()-3),2)&gt;5)</formula>
    </cfRule>
    <cfRule type="expression" dxfId="794" priority="483">
      <formula>MONTH(DATE($G$1,6,ROW()-3))&lt;&gt;6</formula>
    </cfRule>
  </conditionalFormatting>
  <conditionalFormatting sqref="F10">
    <cfRule type="expression" dxfId="793" priority="484">
      <formula>AND(MONTH(DATE($G$1,6,ROW()-3))=6,WEEKDAY(DATE($G$1,6,ROW()-3),2)&gt;5)</formula>
    </cfRule>
    <cfRule type="expression" dxfId="792" priority="486">
      <formula>MONTH(DATE($G$1,6,ROW()-3))&lt;&gt;6</formula>
    </cfRule>
  </conditionalFormatting>
  <conditionalFormatting sqref="F11">
    <cfRule type="expression" dxfId="791" priority="487">
      <formula>AND(MONTH(DATE($G$1,6,ROW()-3))=6,WEEKDAY(DATE($G$1,6,ROW()-3),2)&gt;5)</formula>
    </cfRule>
    <cfRule type="expression" dxfId="790" priority="489">
      <formula>MONTH(DATE($G$1,6,ROW()-3))&lt;&gt;6</formula>
    </cfRule>
  </conditionalFormatting>
  <conditionalFormatting sqref="F12">
    <cfRule type="expression" dxfId="789" priority="490">
      <formula>AND(MONTH(DATE($G$1,6,ROW()-3))=6,WEEKDAY(DATE($G$1,6,ROW()-3),2)&gt;5)</formula>
    </cfRule>
    <cfRule type="expression" dxfId="788" priority="492">
      <formula>MONTH(DATE($G$1,6,ROW()-3))&lt;&gt;6</formula>
    </cfRule>
  </conditionalFormatting>
  <conditionalFormatting sqref="F13">
    <cfRule type="expression" dxfId="787" priority="493">
      <formula>AND(MONTH(DATE($G$1,6,ROW()-3))=6,WEEKDAY(DATE($G$1,6,ROW()-3),2)&gt;5)</formula>
    </cfRule>
    <cfRule type="expression" dxfId="786" priority="495">
      <formula>MONTH(DATE($G$1,6,ROW()-3))&lt;&gt;6</formula>
    </cfRule>
  </conditionalFormatting>
  <conditionalFormatting sqref="F14">
    <cfRule type="expression" dxfId="785" priority="496">
      <formula>AND(MONTH(DATE($G$1,6,ROW()-3))=6,WEEKDAY(DATE($G$1,6,ROW()-3),2)&gt;5)</formula>
    </cfRule>
    <cfRule type="expression" dxfId="784" priority="498">
      <formula>MONTH(DATE($G$1,6,ROW()-3))&lt;&gt;6</formula>
    </cfRule>
  </conditionalFormatting>
  <conditionalFormatting sqref="F15">
    <cfRule type="expression" dxfId="783" priority="499">
      <formula>AND(MONTH(DATE($G$1,6,ROW()-3))=6,WEEKDAY(DATE($G$1,6,ROW()-3),2)&gt;5)</formula>
    </cfRule>
    <cfRule type="expression" dxfId="782" priority="501">
      <formula>MONTH(DATE($G$1,6,ROW()-3))&lt;&gt;6</formula>
    </cfRule>
  </conditionalFormatting>
  <conditionalFormatting sqref="F16">
    <cfRule type="expression" dxfId="781" priority="502">
      <formula>AND(MONTH(DATE($G$1,6,ROW()-3))=6,WEEKDAY(DATE($G$1,6,ROW()-3),2)&gt;5)</formula>
    </cfRule>
    <cfRule type="expression" dxfId="780" priority="504">
      <formula>MONTH(DATE($G$1,6,ROW()-3))&lt;&gt;6</formula>
    </cfRule>
  </conditionalFormatting>
  <conditionalFormatting sqref="F17">
    <cfRule type="expression" dxfId="779" priority="505">
      <formula>AND(MONTH(DATE($G$1,6,ROW()-3))=6,WEEKDAY(DATE($G$1,6,ROW()-3),2)&gt;5)</formula>
    </cfRule>
    <cfRule type="expression" dxfId="778" priority="507">
      <formula>MONTH(DATE($G$1,6,ROW()-3))&lt;&gt;6</formula>
    </cfRule>
  </conditionalFormatting>
  <conditionalFormatting sqref="F18">
    <cfRule type="expression" dxfId="777" priority="508">
      <formula>AND(MONTH(DATE($G$1,6,ROW()-3))=6,WEEKDAY(DATE($G$1,6,ROW()-3),2)&gt;5)</formula>
    </cfRule>
    <cfRule type="expression" dxfId="776" priority="510">
      <formula>MONTH(DATE($G$1,6,ROW()-3))&lt;&gt;6</formula>
    </cfRule>
  </conditionalFormatting>
  <conditionalFormatting sqref="F19">
    <cfRule type="expression" dxfId="775" priority="511">
      <formula>AND(MONTH(DATE($G$1,6,ROW()-3))=6,WEEKDAY(DATE($G$1,6,ROW()-3),2)&gt;5)</formula>
    </cfRule>
    <cfRule type="expression" dxfId="774" priority="513">
      <formula>MONTH(DATE($G$1,6,ROW()-3))&lt;&gt;6</formula>
    </cfRule>
  </conditionalFormatting>
  <conditionalFormatting sqref="F20">
    <cfRule type="expression" dxfId="773" priority="514">
      <formula>AND(MONTH(DATE($G$1,6,ROW()-3))=6,WEEKDAY(DATE($G$1,6,ROW()-3),2)&gt;5)</formula>
    </cfRule>
    <cfRule type="expression" dxfId="772" priority="516">
      <formula>MONTH(DATE($G$1,6,ROW()-3))&lt;&gt;6</formula>
    </cfRule>
  </conditionalFormatting>
  <conditionalFormatting sqref="F21">
    <cfRule type="expression" dxfId="771" priority="517">
      <formula>AND(MONTH(DATE($G$1,6,ROW()-3))=6,WEEKDAY(DATE($G$1,6,ROW()-3),2)&gt;5)</formula>
    </cfRule>
    <cfRule type="expression" dxfId="770" priority="519">
      <formula>MONTH(DATE($G$1,6,ROW()-3))&lt;&gt;6</formula>
    </cfRule>
  </conditionalFormatting>
  <conditionalFormatting sqref="F22">
    <cfRule type="expression" dxfId="769" priority="520">
      <formula>AND(MONTH(DATE($G$1,6,ROW()-3))=6,WEEKDAY(DATE($G$1,6,ROW()-3),2)&gt;5)</formula>
    </cfRule>
    <cfRule type="expression" dxfId="768" priority="522">
      <formula>MONTH(DATE($G$1,6,ROW()-3))&lt;&gt;6</formula>
    </cfRule>
  </conditionalFormatting>
  <conditionalFormatting sqref="F23">
    <cfRule type="expression" dxfId="767" priority="523">
      <formula>AND(MONTH(DATE($G$1,6,ROW()-3))=6,WEEKDAY(DATE($G$1,6,ROW()-3),2)&gt;5)</formula>
    </cfRule>
    <cfRule type="expression" dxfId="766" priority="525">
      <formula>MONTH(DATE($G$1,6,ROW()-3))&lt;&gt;6</formula>
    </cfRule>
  </conditionalFormatting>
  <conditionalFormatting sqref="F24">
    <cfRule type="expression" dxfId="765" priority="526">
      <formula>AND(MONTH(DATE($G$1,6,ROW()-3))=6,WEEKDAY(DATE($G$1,6,ROW()-3),2)&gt;5)</formula>
    </cfRule>
    <cfRule type="expression" dxfId="764" priority="528">
      <formula>MONTH(DATE($G$1,6,ROW()-3))&lt;&gt;6</formula>
    </cfRule>
  </conditionalFormatting>
  <conditionalFormatting sqref="F25">
    <cfRule type="expression" dxfId="763" priority="529">
      <formula>AND(MONTH(DATE($G$1,6,ROW()-3))=6,WEEKDAY(DATE($G$1,6,ROW()-3),2)&gt;5)</formula>
    </cfRule>
    <cfRule type="expression" dxfId="762" priority="531">
      <formula>MONTH(DATE($G$1,6,ROW()-3))&lt;&gt;6</formula>
    </cfRule>
  </conditionalFormatting>
  <conditionalFormatting sqref="F26">
    <cfRule type="expression" dxfId="761" priority="532">
      <formula>AND(MONTH(DATE($G$1,6,ROW()-3))=6,WEEKDAY(DATE($G$1,6,ROW()-3),2)&gt;5)</formula>
    </cfRule>
    <cfRule type="expression" dxfId="760" priority="534">
      <formula>MONTH(DATE($G$1,6,ROW()-3))&lt;&gt;6</formula>
    </cfRule>
  </conditionalFormatting>
  <conditionalFormatting sqref="F27">
    <cfRule type="expression" dxfId="759" priority="535">
      <formula>AND(MONTH(DATE($G$1,6,ROW()-3))=6,WEEKDAY(DATE($G$1,6,ROW()-3),2)&gt;5)</formula>
    </cfRule>
    <cfRule type="expression" dxfId="758" priority="537">
      <formula>MONTH(DATE($G$1,6,ROW()-3))&lt;&gt;6</formula>
    </cfRule>
  </conditionalFormatting>
  <conditionalFormatting sqref="F28">
    <cfRule type="expression" dxfId="757" priority="538">
      <formula>AND(MONTH(DATE($G$1,6,ROW()-3))=6,WEEKDAY(DATE($G$1,6,ROW()-3),2)&gt;5)</formula>
    </cfRule>
    <cfRule type="expression" dxfId="756" priority="540">
      <formula>MONTH(DATE($G$1,6,ROW()-3))&lt;&gt;6</formula>
    </cfRule>
  </conditionalFormatting>
  <conditionalFormatting sqref="F29">
    <cfRule type="expression" dxfId="755" priority="541">
      <formula>AND(MONTH(DATE($G$1,6,ROW()-3))=6,WEEKDAY(DATE($G$1,6,ROW()-3),2)&gt;5)</formula>
    </cfRule>
    <cfRule type="expression" dxfId="754" priority="543">
      <formula>MONTH(DATE($G$1,6,ROW()-3))&lt;&gt;6</formula>
    </cfRule>
  </conditionalFormatting>
  <conditionalFormatting sqref="F30">
    <cfRule type="expression" dxfId="753" priority="544">
      <formula>AND(MONTH(DATE($G$1,6,ROW()-3))=6,WEEKDAY(DATE($G$1,6,ROW()-3),2)&gt;5)</formula>
    </cfRule>
    <cfRule type="expression" dxfId="752" priority="546">
      <formula>MONTH(DATE($G$1,6,ROW()-3))&lt;&gt;6</formula>
    </cfRule>
  </conditionalFormatting>
  <conditionalFormatting sqref="F31">
    <cfRule type="expression" dxfId="751" priority="547">
      <formula>AND(MONTH(DATE($G$1,6,ROW()-3))=6,WEEKDAY(DATE($G$1,6,ROW()-3),2)&gt;5)</formula>
    </cfRule>
    <cfRule type="expression" dxfId="750" priority="549">
      <formula>MONTH(DATE($G$1,6,ROW()-3))&lt;&gt;6</formula>
    </cfRule>
  </conditionalFormatting>
  <conditionalFormatting sqref="F32">
    <cfRule type="expression" dxfId="749" priority="550">
      <formula>AND(MONTH(DATE($G$1,6,ROW()-3))=6,WEEKDAY(DATE($G$1,6,ROW()-3),2)&gt;5)</formula>
    </cfRule>
    <cfRule type="expression" dxfId="748" priority="552">
      <formula>MONTH(DATE($G$1,6,ROW()-3))&lt;&gt;6</formula>
    </cfRule>
  </conditionalFormatting>
  <conditionalFormatting sqref="F33">
    <cfRule type="expression" dxfId="747" priority="553">
      <formula>AND(MONTH(DATE($G$1,6,ROW()-3))=6,WEEKDAY(DATE($G$1,6,ROW()-3),2)&gt;5)</formula>
    </cfRule>
    <cfRule type="expression" dxfId="746" priority="555">
      <formula>MONTH(DATE($G$1,6,ROW()-3))&lt;&gt;6</formula>
    </cfRule>
  </conditionalFormatting>
  <conditionalFormatting sqref="F34">
    <cfRule type="expression" dxfId="745" priority="556">
      <formula>AND(MONTH(DATE($G$1,6,ROW()-3))=6,WEEKDAY(DATE($G$1,6,ROW()-3),2)&gt;5)</formula>
    </cfRule>
    <cfRule type="expression" dxfId="744" priority="558">
      <formula>MONTH(DATE($G$1,6,ROW()-3))&lt;&gt;6</formula>
    </cfRule>
  </conditionalFormatting>
  <conditionalFormatting sqref="A41">
    <cfRule type="expression" dxfId="743" priority="559">
      <formula>AND(MONTH(DATE($G$1,7,ROW()-40))=7,WEEKDAY(DATE($G$1,7,ROW()-40),2)&gt;5)</formula>
    </cfRule>
    <cfRule type="expression" dxfId="742" priority="561">
      <formula>MONTH(DATE($G$1,7,ROW()-40))&lt;&gt;7</formula>
    </cfRule>
  </conditionalFormatting>
  <conditionalFormatting sqref="A42">
    <cfRule type="expression" dxfId="741" priority="562">
      <formula>AND(MONTH(DATE($G$1,7,ROW()-40))=7,WEEKDAY(DATE($G$1,7,ROW()-40),2)&gt;5)</formula>
    </cfRule>
    <cfRule type="expression" dxfId="740" priority="564">
      <formula>MONTH(DATE($G$1,7,ROW()-40))&lt;&gt;7</formula>
    </cfRule>
  </conditionalFormatting>
  <conditionalFormatting sqref="A43">
    <cfRule type="expression" dxfId="739" priority="565">
      <formula>AND(MONTH(DATE($G$1,7,ROW()-40))=7,WEEKDAY(DATE($G$1,7,ROW()-40),2)&gt;5)</formula>
    </cfRule>
    <cfRule type="expression" dxfId="738" priority="567">
      <formula>MONTH(DATE($G$1,7,ROW()-40))&lt;&gt;7</formula>
    </cfRule>
  </conditionalFormatting>
  <conditionalFormatting sqref="A44">
    <cfRule type="expression" dxfId="737" priority="568">
      <formula>AND(MONTH(DATE($G$1,7,ROW()-40))=7,WEEKDAY(DATE($G$1,7,ROW()-40),2)&gt;5)</formula>
    </cfRule>
    <cfRule type="expression" dxfId="736" priority="570">
      <formula>MONTH(DATE($G$1,7,ROW()-40))&lt;&gt;7</formula>
    </cfRule>
  </conditionalFormatting>
  <conditionalFormatting sqref="A45">
    <cfRule type="expression" dxfId="735" priority="571">
      <formula>AND(MONTH(DATE($G$1,7,ROW()-40))=7,WEEKDAY(DATE($G$1,7,ROW()-40),2)&gt;5)</formula>
    </cfRule>
    <cfRule type="expression" dxfId="734" priority="573">
      <formula>MONTH(DATE($G$1,7,ROW()-40))&lt;&gt;7</formula>
    </cfRule>
  </conditionalFormatting>
  <conditionalFormatting sqref="A46">
    <cfRule type="expression" dxfId="733" priority="574">
      <formula>AND(MONTH(DATE($G$1,7,ROW()-40))=7,WEEKDAY(DATE($G$1,7,ROW()-40),2)&gt;5)</formula>
    </cfRule>
    <cfRule type="expression" dxfId="732" priority="576">
      <formula>MONTH(DATE($G$1,7,ROW()-40))&lt;&gt;7</formula>
    </cfRule>
  </conditionalFormatting>
  <conditionalFormatting sqref="A47">
    <cfRule type="expression" dxfId="731" priority="577">
      <formula>AND(MONTH(DATE($G$1,7,ROW()-40))=7,WEEKDAY(DATE($G$1,7,ROW()-40),2)&gt;5)</formula>
    </cfRule>
    <cfRule type="expression" dxfId="730" priority="579">
      <formula>MONTH(DATE($G$1,7,ROW()-40))&lt;&gt;7</formula>
    </cfRule>
  </conditionalFormatting>
  <conditionalFormatting sqref="A48">
    <cfRule type="expression" dxfId="729" priority="580">
      <formula>AND(MONTH(DATE($G$1,7,ROW()-40))=7,WEEKDAY(DATE($G$1,7,ROW()-40),2)&gt;5)</formula>
    </cfRule>
    <cfRule type="expression" dxfId="728" priority="582">
      <formula>MONTH(DATE($G$1,7,ROW()-40))&lt;&gt;7</formula>
    </cfRule>
  </conditionalFormatting>
  <conditionalFormatting sqref="A49">
    <cfRule type="expression" dxfId="727" priority="583">
      <formula>AND(MONTH(DATE($G$1,7,ROW()-40))=7,WEEKDAY(DATE($G$1,7,ROW()-40),2)&gt;5)</formula>
    </cfRule>
    <cfRule type="expression" dxfId="726" priority="585">
      <formula>MONTH(DATE($G$1,7,ROW()-40))&lt;&gt;7</formula>
    </cfRule>
  </conditionalFormatting>
  <conditionalFormatting sqref="A50">
    <cfRule type="expression" dxfId="725" priority="586">
      <formula>AND(MONTH(DATE($G$1,7,ROW()-40))=7,WEEKDAY(DATE($G$1,7,ROW()-40),2)&gt;5)</formula>
    </cfRule>
    <cfRule type="expression" dxfId="724" priority="588">
      <formula>MONTH(DATE($G$1,7,ROW()-40))&lt;&gt;7</formula>
    </cfRule>
  </conditionalFormatting>
  <conditionalFormatting sqref="A51">
    <cfRule type="expression" dxfId="723" priority="589">
      <formula>AND(MONTH(DATE($G$1,7,ROW()-40))=7,WEEKDAY(DATE($G$1,7,ROW()-40),2)&gt;5)</formula>
    </cfRule>
    <cfRule type="expression" dxfId="722" priority="591">
      <formula>MONTH(DATE($G$1,7,ROW()-40))&lt;&gt;7</formula>
    </cfRule>
  </conditionalFormatting>
  <conditionalFormatting sqref="A52">
    <cfRule type="expression" dxfId="721" priority="592">
      <formula>AND(MONTH(DATE($G$1,7,ROW()-40))=7,WEEKDAY(DATE($G$1,7,ROW()-40),2)&gt;5)</formula>
    </cfRule>
    <cfRule type="expression" dxfId="720" priority="594">
      <formula>MONTH(DATE($G$1,7,ROW()-40))&lt;&gt;7</formula>
    </cfRule>
  </conditionalFormatting>
  <conditionalFormatting sqref="A53">
    <cfRule type="expression" dxfId="719" priority="595">
      <formula>AND(MONTH(DATE($G$1,7,ROW()-40))=7,WEEKDAY(DATE($G$1,7,ROW()-40),2)&gt;5)</formula>
    </cfRule>
    <cfRule type="expression" dxfId="718" priority="597">
      <formula>MONTH(DATE($G$1,7,ROW()-40))&lt;&gt;7</formula>
    </cfRule>
  </conditionalFormatting>
  <conditionalFormatting sqref="A54">
    <cfRule type="expression" dxfId="717" priority="598">
      <formula>AND(MONTH(DATE($G$1,7,ROW()-40))=7,WEEKDAY(DATE($G$1,7,ROW()-40),2)&gt;5)</formula>
    </cfRule>
    <cfRule type="expression" dxfId="716" priority="600">
      <formula>MONTH(DATE($G$1,7,ROW()-40))&lt;&gt;7</formula>
    </cfRule>
  </conditionalFormatting>
  <conditionalFormatting sqref="A55">
    <cfRule type="expression" dxfId="715" priority="601">
      <formula>AND(MONTH(DATE($G$1,7,ROW()-40))=7,WEEKDAY(DATE($G$1,7,ROW()-40),2)&gt;5)</formula>
    </cfRule>
    <cfRule type="expression" dxfId="714" priority="603">
      <formula>MONTH(DATE($G$1,7,ROW()-40))&lt;&gt;7</formula>
    </cfRule>
  </conditionalFormatting>
  <conditionalFormatting sqref="A56">
    <cfRule type="expression" dxfId="713" priority="604">
      <formula>AND(MONTH(DATE($G$1,7,ROW()-40))=7,WEEKDAY(DATE($G$1,7,ROW()-40),2)&gt;5)</formula>
    </cfRule>
    <cfRule type="expression" dxfId="712" priority="606">
      <formula>MONTH(DATE($G$1,7,ROW()-40))&lt;&gt;7</formula>
    </cfRule>
  </conditionalFormatting>
  <conditionalFormatting sqref="A57">
    <cfRule type="expression" dxfId="711" priority="607">
      <formula>AND(MONTH(DATE($G$1,7,ROW()-40))=7,WEEKDAY(DATE($G$1,7,ROW()-40),2)&gt;5)</formula>
    </cfRule>
    <cfRule type="expression" dxfId="710" priority="609">
      <formula>MONTH(DATE($G$1,7,ROW()-40))&lt;&gt;7</formula>
    </cfRule>
  </conditionalFormatting>
  <conditionalFormatting sqref="A58">
    <cfRule type="expression" dxfId="709" priority="610">
      <formula>AND(MONTH(DATE($G$1,7,ROW()-40))=7,WEEKDAY(DATE($G$1,7,ROW()-40),2)&gt;5)</formula>
    </cfRule>
    <cfRule type="expression" dxfId="708" priority="612">
      <formula>MONTH(DATE($G$1,7,ROW()-40))&lt;&gt;7</formula>
    </cfRule>
  </conditionalFormatting>
  <conditionalFormatting sqref="A59">
    <cfRule type="expression" dxfId="707" priority="613">
      <formula>AND(MONTH(DATE($G$1,7,ROW()-40))=7,WEEKDAY(DATE($G$1,7,ROW()-40),2)&gt;5)</formula>
    </cfRule>
    <cfRule type="expression" dxfId="706" priority="615">
      <formula>MONTH(DATE($G$1,7,ROW()-40))&lt;&gt;7</formula>
    </cfRule>
  </conditionalFormatting>
  <conditionalFormatting sqref="A60">
    <cfRule type="expression" dxfId="705" priority="616">
      <formula>AND(MONTH(DATE($G$1,7,ROW()-40))=7,WEEKDAY(DATE($G$1,7,ROW()-40),2)&gt;5)</formula>
    </cfRule>
    <cfRule type="expression" dxfId="704" priority="618">
      <formula>MONTH(DATE($G$1,7,ROW()-40))&lt;&gt;7</formula>
    </cfRule>
  </conditionalFormatting>
  <conditionalFormatting sqref="A61">
    <cfRule type="expression" dxfId="703" priority="619">
      <formula>AND(MONTH(DATE($G$1,7,ROW()-40))=7,WEEKDAY(DATE($G$1,7,ROW()-40),2)&gt;5)</formula>
    </cfRule>
    <cfRule type="expression" dxfId="702" priority="621">
      <formula>MONTH(DATE($G$1,7,ROW()-40))&lt;&gt;7</formula>
    </cfRule>
  </conditionalFormatting>
  <conditionalFormatting sqref="A62">
    <cfRule type="expression" dxfId="701" priority="622">
      <formula>AND(MONTH(DATE($G$1,7,ROW()-40))=7,WEEKDAY(DATE($G$1,7,ROW()-40),2)&gt;5)</formula>
    </cfRule>
    <cfRule type="expression" dxfId="700" priority="624">
      <formula>MONTH(DATE($G$1,7,ROW()-40))&lt;&gt;7</formula>
    </cfRule>
  </conditionalFormatting>
  <conditionalFormatting sqref="A63">
    <cfRule type="expression" dxfId="699" priority="625">
      <formula>AND(MONTH(DATE($G$1,7,ROW()-40))=7,WEEKDAY(DATE($G$1,7,ROW()-40),2)&gt;5)</formula>
    </cfRule>
    <cfRule type="expression" dxfId="698" priority="627">
      <formula>MONTH(DATE($G$1,7,ROW()-40))&lt;&gt;7</formula>
    </cfRule>
  </conditionalFormatting>
  <conditionalFormatting sqref="A64">
    <cfRule type="expression" dxfId="697" priority="628">
      <formula>AND(MONTH(DATE($G$1,7,ROW()-40))=7,WEEKDAY(DATE($G$1,7,ROW()-40),2)&gt;5)</formula>
    </cfRule>
    <cfRule type="expression" dxfId="696" priority="630">
      <formula>MONTH(DATE($G$1,7,ROW()-40))&lt;&gt;7</formula>
    </cfRule>
  </conditionalFormatting>
  <conditionalFormatting sqref="A65">
    <cfRule type="expression" dxfId="695" priority="631">
      <formula>AND(MONTH(DATE($G$1,7,ROW()-40))=7,WEEKDAY(DATE($G$1,7,ROW()-40),2)&gt;5)</formula>
    </cfRule>
    <cfRule type="expression" dxfId="694" priority="633">
      <formula>MONTH(DATE($G$1,7,ROW()-40))&lt;&gt;7</formula>
    </cfRule>
  </conditionalFormatting>
  <conditionalFormatting sqref="A66">
    <cfRule type="expression" dxfId="693" priority="634">
      <formula>AND(MONTH(DATE($G$1,7,ROW()-40))=7,WEEKDAY(DATE($G$1,7,ROW()-40),2)&gt;5)</formula>
    </cfRule>
    <cfRule type="expression" dxfId="692" priority="636">
      <formula>MONTH(DATE($G$1,7,ROW()-40))&lt;&gt;7</formula>
    </cfRule>
  </conditionalFormatting>
  <conditionalFormatting sqref="A67">
    <cfRule type="expression" dxfId="691" priority="637">
      <formula>AND(MONTH(DATE($G$1,7,ROW()-40))=7,WEEKDAY(DATE($G$1,7,ROW()-40),2)&gt;5)</formula>
    </cfRule>
    <cfRule type="expression" dxfId="690" priority="639">
      <formula>MONTH(DATE($G$1,7,ROW()-40))&lt;&gt;7</formula>
    </cfRule>
  </conditionalFormatting>
  <conditionalFormatting sqref="A68">
    <cfRule type="expression" dxfId="689" priority="640">
      <formula>AND(MONTH(DATE($G$1,7,ROW()-40))=7,WEEKDAY(DATE($G$1,7,ROW()-40),2)&gt;5)</formula>
    </cfRule>
    <cfRule type="expression" dxfId="688" priority="642">
      <formula>MONTH(DATE($G$1,7,ROW()-40))&lt;&gt;7</formula>
    </cfRule>
  </conditionalFormatting>
  <conditionalFormatting sqref="A69">
    <cfRule type="expression" dxfId="687" priority="643">
      <formula>AND(MONTH(DATE($G$1,7,ROW()-40))=7,WEEKDAY(DATE($G$1,7,ROW()-40),2)&gt;5)</formula>
    </cfRule>
    <cfRule type="expression" dxfId="686" priority="645">
      <formula>MONTH(DATE($G$1,7,ROW()-40))&lt;&gt;7</formula>
    </cfRule>
  </conditionalFormatting>
  <conditionalFormatting sqref="A70">
    <cfRule type="expression" dxfId="685" priority="646">
      <formula>AND(MONTH(DATE($G$1,7,ROW()-40))=7,WEEKDAY(DATE($G$1,7,ROW()-40),2)&gt;5)</formula>
    </cfRule>
    <cfRule type="expression" dxfId="684" priority="648">
      <formula>MONTH(DATE($G$1,7,ROW()-40))&lt;&gt;7</formula>
    </cfRule>
  </conditionalFormatting>
  <conditionalFormatting sqref="A71">
    <cfRule type="expression" dxfId="683" priority="649">
      <formula>AND(MONTH(DATE($G$1,7,ROW()-40))=7,WEEKDAY(DATE($G$1,7,ROW()-40),2)&gt;5)</formula>
    </cfRule>
    <cfRule type="expression" dxfId="682" priority="651">
      <formula>MONTH(DATE($G$1,7,ROW()-40))&lt;&gt;7</formula>
    </cfRule>
  </conditionalFormatting>
  <conditionalFormatting sqref="B41">
    <cfRule type="expression" dxfId="681" priority="652">
      <formula>AND(MONTH(DATE($G$1,8,ROW()-40))=8,WEEKDAY(DATE($G$1,8,ROW()-40),2)&gt;5)</formula>
    </cfRule>
    <cfRule type="expression" dxfId="680" priority="654">
      <formula>MONTH(DATE($G$1,8,ROW()-40))&lt;&gt;8</formula>
    </cfRule>
  </conditionalFormatting>
  <conditionalFormatting sqref="B42">
    <cfRule type="expression" dxfId="679" priority="655">
      <formula>AND(MONTH(DATE($G$1,8,ROW()-40))=8,WEEKDAY(DATE($G$1,8,ROW()-40),2)&gt;5)</formula>
    </cfRule>
    <cfRule type="expression" dxfId="678" priority="657">
      <formula>MONTH(DATE($G$1,8,ROW()-40))&lt;&gt;8</formula>
    </cfRule>
  </conditionalFormatting>
  <conditionalFormatting sqref="B43">
    <cfRule type="expression" dxfId="677" priority="658">
      <formula>AND(MONTH(DATE($G$1,8,ROW()-40))=8,WEEKDAY(DATE($G$1,8,ROW()-40),2)&gt;5)</formula>
    </cfRule>
    <cfRule type="expression" dxfId="676" priority="660">
      <formula>MONTH(DATE($G$1,8,ROW()-40))&lt;&gt;8</formula>
    </cfRule>
  </conditionalFormatting>
  <conditionalFormatting sqref="B44">
    <cfRule type="expression" dxfId="675" priority="661">
      <formula>AND(MONTH(DATE($G$1,8,ROW()-40))=8,WEEKDAY(DATE($G$1,8,ROW()-40),2)&gt;5)</formula>
    </cfRule>
    <cfRule type="expression" dxfId="674" priority="663">
      <formula>MONTH(DATE($G$1,8,ROW()-40))&lt;&gt;8</formula>
    </cfRule>
  </conditionalFormatting>
  <conditionalFormatting sqref="B45">
    <cfRule type="expression" dxfId="673" priority="664">
      <formula>AND(MONTH(DATE($G$1,8,ROW()-40))=8,WEEKDAY(DATE($G$1,8,ROW()-40),2)&gt;5)</formula>
    </cfRule>
    <cfRule type="expression" dxfId="672" priority="666">
      <formula>MONTH(DATE($G$1,8,ROW()-40))&lt;&gt;8</formula>
    </cfRule>
  </conditionalFormatting>
  <conditionalFormatting sqref="B46">
    <cfRule type="expression" dxfId="671" priority="667">
      <formula>AND(MONTH(DATE($G$1,8,ROW()-40))=8,WEEKDAY(DATE($G$1,8,ROW()-40),2)&gt;5)</formula>
    </cfRule>
    <cfRule type="expression" dxfId="670" priority="669">
      <formula>MONTH(DATE($G$1,8,ROW()-40))&lt;&gt;8</formula>
    </cfRule>
  </conditionalFormatting>
  <conditionalFormatting sqref="B47">
    <cfRule type="expression" dxfId="669" priority="670">
      <formula>AND(MONTH(DATE($G$1,8,ROW()-40))=8,WEEKDAY(DATE($G$1,8,ROW()-40),2)&gt;5)</formula>
    </cfRule>
    <cfRule type="expression" dxfId="668" priority="672">
      <formula>MONTH(DATE($G$1,8,ROW()-40))&lt;&gt;8</formula>
    </cfRule>
  </conditionalFormatting>
  <conditionalFormatting sqref="B48">
    <cfRule type="expression" dxfId="667" priority="673">
      <formula>AND(MONTH(DATE($G$1,8,ROW()-40))=8,WEEKDAY(DATE($G$1,8,ROW()-40),2)&gt;5)</formula>
    </cfRule>
    <cfRule type="expression" dxfId="666" priority="675">
      <formula>MONTH(DATE($G$1,8,ROW()-40))&lt;&gt;8</formula>
    </cfRule>
  </conditionalFormatting>
  <conditionalFormatting sqref="B49">
    <cfRule type="expression" dxfId="665" priority="676">
      <formula>AND(MONTH(DATE($G$1,8,ROW()-40))=8,WEEKDAY(DATE($G$1,8,ROW()-40),2)&gt;5)</formula>
    </cfRule>
    <cfRule type="expression" dxfId="664" priority="678">
      <formula>MONTH(DATE($G$1,8,ROW()-40))&lt;&gt;8</formula>
    </cfRule>
  </conditionalFormatting>
  <conditionalFormatting sqref="B50">
    <cfRule type="expression" dxfId="663" priority="679">
      <formula>AND(MONTH(DATE($G$1,8,ROW()-40))=8,WEEKDAY(DATE($G$1,8,ROW()-40),2)&gt;5)</formula>
    </cfRule>
    <cfRule type="expression" dxfId="662" priority="681">
      <formula>MONTH(DATE($G$1,8,ROW()-40))&lt;&gt;8</formula>
    </cfRule>
  </conditionalFormatting>
  <conditionalFormatting sqref="B51">
    <cfRule type="expression" dxfId="661" priority="682">
      <formula>AND(MONTH(DATE($G$1,8,ROW()-40))=8,WEEKDAY(DATE($G$1,8,ROW()-40),2)&gt;5)</formula>
    </cfRule>
    <cfRule type="expression" dxfId="660" priority="684">
      <formula>MONTH(DATE($G$1,8,ROW()-40))&lt;&gt;8</formula>
    </cfRule>
  </conditionalFormatting>
  <conditionalFormatting sqref="B52">
    <cfRule type="expression" dxfId="659" priority="685">
      <formula>AND(MONTH(DATE($G$1,8,ROW()-40))=8,WEEKDAY(DATE($G$1,8,ROW()-40),2)&gt;5)</formula>
    </cfRule>
    <cfRule type="expression" dxfId="658" priority="687">
      <formula>MONTH(DATE($G$1,8,ROW()-40))&lt;&gt;8</formula>
    </cfRule>
  </conditionalFormatting>
  <conditionalFormatting sqref="B53">
    <cfRule type="expression" dxfId="657" priority="688">
      <formula>AND(MONTH(DATE($G$1,8,ROW()-40))=8,WEEKDAY(DATE($G$1,8,ROW()-40),2)&gt;5)</formula>
    </cfRule>
    <cfRule type="expression" dxfId="656" priority="690">
      <formula>MONTH(DATE($G$1,8,ROW()-40))&lt;&gt;8</formula>
    </cfRule>
  </conditionalFormatting>
  <conditionalFormatting sqref="B54">
    <cfRule type="expression" dxfId="655" priority="691">
      <formula>AND(MONTH(DATE($G$1,8,ROW()-40))=8,WEEKDAY(DATE($G$1,8,ROW()-40),2)&gt;5)</formula>
    </cfRule>
    <cfRule type="expression" dxfId="654" priority="693">
      <formula>MONTH(DATE($G$1,8,ROW()-40))&lt;&gt;8</formula>
    </cfRule>
  </conditionalFormatting>
  <conditionalFormatting sqref="B55">
    <cfRule type="expression" dxfId="653" priority="694">
      <formula>AND(MONTH(DATE($G$1,8,ROW()-40))=8,WEEKDAY(DATE($G$1,8,ROW()-40),2)&gt;5)</formula>
    </cfRule>
    <cfRule type="expression" dxfId="652" priority="696">
      <formula>MONTH(DATE($G$1,8,ROW()-40))&lt;&gt;8</formula>
    </cfRule>
  </conditionalFormatting>
  <conditionalFormatting sqref="B56">
    <cfRule type="expression" dxfId="651" priority="697">
      <formula>AND(MONTH(DATE($G$1,8,ROW()-40))=8,WEEKDAY(DATE($G$1,8,ROW()-40),2)&gt;5)</formula>
    </cfRule>
    <cfRule type="expression" dxfId="650" priority="699">
      <formula>MONTH(DATE($G$1,8,ROW()-40))&lt;&gt;8</formula>
    </cfRule>
  </conditionalFormatting>
  <conditionalFormatting sqref="B57">
    <cfRule type="expression" dxfId="649" priority="700">
      <formula>AND(MONTH(DATE($G$1,8,ROW()-40))=8,WEEKDAY(DATE($G$1,8,ROW()-40),2)&gt;5)</formula>
    </cfRule>
    <cfRule type="expression" dxfId="648" priority="702">
      <formula>MONTH(DATE($G$1,8,ROW()-40))&lt;&gt;8</formula>
    </cfRule>
  </conditionalFormatting>
  <conditionalFormatting sqref="B58">
    <cfRule type="expression" dxfId="647" priority="703">
      <formula>AND(MONTH(DATE($G$1,8,ROW()-40))=8,WEEKDAY(DATE($G$1,8,ROW()-40),2)&gt;5)</formula>
    </cfRule>
    <cfRule type="expression" dxfId="646" priority="705">
      <formula>MONTH(DATE($G$1,8,ROW()-40))&lt;&gt;8</formula>
    </cfRule>
  </conditionalFormatting>
  <conditionalFormatting sqref="B59">
    <cfRule type="expression" dxfId="645" priority="706">
      <formula>AND(MONTH(DATE($G$1,8,ROW()-40))=8,WEEKDAY(DATE($G$1,8,ROW()-40),2)&gt;5)</formula>
    </cfRule>
    <cfRule type="expression" dxfId="644" priority="708">
      <formula>MONTH(DATE($G$1,8,ROW()-40))&lt;&gt;8</formula>
    </cfRule>
  </conditionalFormatting>
  <conditionalFormatting sqref="B60">
    <cfRule type="expression" dxfId="643" priority="709">
      <formula>AND(MONTH(DATE($G$1,8,ROW()-40))=8,WEEKDAY(DATE($G$1,8,ROW()-40),2)&gt;5)</formula>
    </cfRule>
    <cfRule type="expression" dxfId="642" priority="711">
      <formula>MONTH(DATE($G$1,8,ROW()-40))&lt;&gt;8</formula>
    </cfRule>
  </conditionalFormatting>
  <conditionalFormatting sqref="B61">
    <cfRule type="expression" dxfId="641" priority="712">
      <formula>AND(MONTH(DATE($G$1,8,ROW()-40))=8,WEEKDAY(DATE($G$1,8,ROW()-40),2)&gt;5)</formula>
    </cfRule>
    <cfRule type="expression" dxfId="640" priority="714">
      <formula>MONTH(DATE($G$1,8,ROW()-40))&lt;&gt;8</formula>
    </cfRule>
  </conditionalFormatting>
  <conditionalFormatting sqref="B62">
    <cfRule type="expression" dxfId="639" priority="715">
      <formula>AND(MONTH(DATE($G$1,8,ROW()-40))=8,WEEKDAY(DATE($G$1,8,ROW()-40),2)&gt;5)</formula>
    </cfRule>
    <cfRule type="expression" dxfId="638" priority="717">
      <formula>MONTH(DATE($G$1,8,ROW()-40))&lt;&gt;8</formula>
    </cfRule>
  </conditionalFormatting>
  <conditionalFormatting sqref="B63">
    <cfRule type="expression" dxfId="637" priority="718">
      <formula>AND(MONTH(DATE($G$1,8,ROW()-40))=8,WEEKDAY(DATE($G$1,8,ROW()-40),2)&gt;5)</formula>
    </cfRule>
    <cfRule type="expression" dxfId="636" priority="720">
      <formula>MONTH(DATE($G$1,8,ROW()-40))&lt;&gt;8</formula>
    </cfRule>
  </conditionalFormatting>
  <conditionalFormatting sqref="B64">
    <cfRule type="expression" dxfId="635" priority="721">
      <formula>AND(MONTH(DATE($G$1,8,ROW()-40))=8,WEEKDAY(DATE($G$1,8,ROW()-40),2)&gt;5)</formula>
    </cfRule>
    <cfRule type="expression" dxfId="634" priority="723">
      <formula>MONTH(DATE($G$1,8,ROW()-40))&lt;&gt;8</formula>
    </cfRule>
  </conditionalFormatting>
  <conditionalFormatting sqref="B65">
    <cfRule type="expression" dxfId="633" priority="724">
      <formula>AND(MONTH(DATE($G$1,8,ROW()-40))=8,WEEKDAY(DATE($G$1,8,ROW()-40),2)&gt;5)</formula>
    </cfRule>
    <cfRule type="expression" dxfId="632" priority="726">
      <formula>MONTH(DATE($G$1,8,ROW()-40))&lt;&gt;8</formula>
    </cfRule>
  </conditionalFormatting>
  <conditionalFormatting sqref="B66">
    <cfRule type="expression" dxfId="631" priority="727">
      <formula>AND(MONTH(DATE($G$1,8,ROW()-40))=8,WEEKDAY(DATE($G$1,8,ROW()-40),2)&gt;5)</formula>
    </cfRule>
    <cfRule type="expression" dxfId="630" priority="729">
      <formula>MONTH(DATE($G$1,8,ROW()-40))&lt;&gt;8</formula>
    </cfRule>
  </conditionalFormatting>
  <conditionalFormatting sqref="B67">
    <cfRule type="expression" dxfId="629" priority="730">
      <formula>AND(MONTH(DATE($G$1,8,ROW()-40))=8,WEEKDAY(DATE($G$1,8,ROW()-40),2)&gt;5)</formula>
    </cfRule>
    <cfRule type="expression" dxfId="628" priority="732">
      <formula>MONTH(DATE($G$1,8,ROW()-40))&lt;&gt;8</formula>
    </cfRule>
  </conditionalFormatting>
  <conditionalFormatting sqref="B68">
    <cfRule type="expression" dxfId="627" priority="733">
      <formula>AND(MONTH(DATE($G$1,8,ROW()-40))=8,WEEKDAY(DATE($G$1,8,ROW()-40),2)&gt;5)</formula>
    </cfRule>
    <cfRule type="expression" dxfId="626" priority="735">
      <formula>MONTH(DATE($G$1,8,ROW()-40))&lt;&gt;8</formula>
    </cfRule>
  </conditionalFormatting>
  <conditionalFormatting sqref="B69">
    <cfRule type="expression" dxfId="625" priority="736">
      <formula>AND(MONTH(DATE($G$1,8,ROW()-40))=8,WEEKDAY(DATE($G$1,8,ROW()-40),2)&gt;5)</formula>
    </cfRule>
    <cfRule type="expression" dxfId="624" priority="738">
      <formula>MONTH(DATE($G$1,8,ROW()-40))&lt;&gt;8</formula>
    </cfRule>
  </conditionalFormatting>
  <conditionalFormatting sqref="B70">
    <cfRule type="expression" dxfId="623" priority="739">
      <formula>AND(MONTH(DATE($G$1,8,ROW()-40))=8,WEEKDAY(DATE($G$1,8,ROW()-40),2)&gt;5)</formula>
    </cfRule>
    <cfRule type="expression" dxfId="622" priority="741">
      <formula>MONTH(DATE($G$1,8,ROW()-40))&lt;&gt;8</formula>
    </cfRule>
  </conditionalFormatting>
  <conditionalFormatting sqref="B71">
    <cfRule type="expression" dxfId="621" priority="742">
      <formula>AND(MONTH(DATE($G$1,8,ROW()-40))=8,WEEKDAY(DATE($G$1,8,ROW()-40),2)&gt;5)</formula>
    </cfRule>
    <cfRule type="expression" dxfId="620" priority="744">
      <formula>MONTH(DATE($G$1,8,ROW()-40))&lt;&gt;8</formula>
    </cfRule>
  </conditionalFormatting>
  <conditionalFormatting sqref="C41">
    <cfRule type="expression" dxfId="619" priority="745">
      <formula>AND(MONTH(DATE($G$1,9,ROW()-40))=9,WEEKDAY(DATE($G$1,9,ROW()-40),2)&gt;5)</formula>
    </cfRule>
    <cfRule type="expression" dxfId="618" priority="747">
      <formula>MONTH(DATE($G$1,9,ROW()-40))&lt;&gt;9</formula>
    </cfRule>
  </conditionalFormatting>
  <conditionalFormatting sqref="C42">
    <cfRule type="expression" dxfId="617" priority="748">
      <formula>AND(MONTH(DATE($G$1,9,ROW()-40))=9,WEEKDAY(DATE($G$1,9,ROW()-40),2)&gt;5)</formula>
    </cfRule>
    <cfRule type="expression" dxfId="616" priority="750">
      <formula>MONTH(DATE($G$1,9,ROW()-40))&lt;&gt;9</formula>
    </cfRule>
  </conditionalFormatting>
  <conditionalFormatting sqref="C43">
    <cfRule type="expression" dxfId="615" priority="751">
      <formula>AND(MONTH(DATE($G$1,9,ROW()-40))=9,WEEKDAY(DATE($G$1,9,ROW()-40),2)&gt;5)</formula>
    </cfRule>
    <cfRule type="expression" dxfId="614" priority="753">
      <formula>MONTH(DATE($G$1,9,ROW()-40))&lt;&gt;9</formula>
    </cfRule>
  </conditionalFormatting>
  <conditionalFormatting sqref="C44">
    <cfRule type="expression" dxfId="613" priority="754">
      <formula>AND(MONTH(DATE($G$1,9,ROW()-40))=9,WEEKDAY(DATE($G$1,9,ROW()-40),2)&gt;5)</formula>
    </cfRule>
    <cfRule type="expression" dxfId="612" priority="756">
      <formula>MONTH(DATE($G$1,9,ROW()-40))&lt;&gt;9</formula>
    </cfRule>
  </conditionalFormatting>
  <conditionalFormatting sqref="C45">
    <cfRule type="expression" dxfId="611" priority="757">
      <formula>AND(MONTH(DATE($G$1,9,ROW()-40))=9,WEEKDAY(DATE($G$1,9,ROW()-40),2)&gt;5)</formula>
    </cfRule>
    <cfRule type="expression" dxfId="610" priority="759">
      <formula>MONTH(DATE($G$1,9,ROW()-40))&lt;&gt;9</formula>
    </cfRule>
  </conditionalFormatting>
  <conditionalFormatting sqref="C46">
    <cfRule type="expression" dxfId="609" priority="760">
      <formula>AND(MONTH(DATE($G$1,9,ROW()-40))=9,WEEKDAY(DATE($G$1,9,ROW()-40),2)&gt;5)</formula>
    </cfRule>
    <cfRule type="expression" dxfId="608" priority="762">
      <formula>MONTH(DATE($G$1,9,ROW()-40))&lt;&gt;9</formula>
    </cfRule>
  </conditionalFormatting>
  <conditionalFormatting sqref="C47">
    <cfRule type="expression" dxfId="607" priority="763">
      <formula>AND(MONTH(DATE($G$1,9,ROW()-40))=9,WEEKDAY(DATE($G$1,9,ROW()-40),2)&gt;5)</formula>
    </cfRule>
    <cfRule type="expression" dxfId="606" priority="765">
      <formula>MONTH(DATE($G$1,9,ROW()-40))&lt;&gt;9</formula>
    </cfRule>
  </conditionalFormatting>
  <conditionalFormatting sqref="C48">
    <cfRule type="expression" dxfId="605" priority="766">
      <formula>AND(MONTH(DATE($G$1,9,ROW()-40))=9,WEEKDAY(DATE($G$1,9,ROW()-40),2)&gt;5)</formula>
    </cfRule>
    <cfRule type="expression" dxfId="604" priority="768">
      <formula>MONTH(DATE($G$1,9,ROW()-40))&lt;&gt;9</formula>
    </cfRule>
  </conditionalFormatting>
  <conditionalFormatting sqref="C49">
    <cfRule type="expression" dxfId="603" priority="769">
      <formula>AND(MONTH(DATE($G$1,9,ROW()-40))=9,WEEKDAY(DATE($G$1,9,ROW()-40),2)&gt;5)</formula>
    </cfRule>
    <cfRule type="expression" dxfId="602" priority="771">
      <formula>MONTH(DATE($G$1,9,ROW()-40))&lt;&gt;9</formula>
    </cfRule>
  </conditionalFormatting>
  <conditionalFormatting sqref="C50">
    <cfRule type="expression" dxfId="601" priority="772">
      <formula>AND(MONTH(DATE($G$1,9,ROW()-40))=9,WEEKDAY(DATE($G$1,9,ROW()-40),2)&gt;5)</formula>
    </cfRule>
    <cfRule type="expression" dxfId="600" priority="774">
      <formula>MONTH(DATE($G$1,9,ROW()-40))&lt;&gt;9</formula>
    </cfRule>
  </conditionalFormatting>
  <conditionalFormatting sqref="C51">
    <cfRule type="expression" dxfId="599" priority="775">
      <formula>AND(MONTH(DATE($G$1,9,ROW()-40))=9,WEEKDAY(DATE($G$1,9,ROW()-40),2)&gt;5)</formula>
    </cfRule>
    <cfRule type="expression" dxfId="598" priority="777">
      <formula>MONTH(DATE($G$1,9,ROW()-40))&lt;&gt;9</formula>
    </cfRule>
  </conditionalFormatting>
  <conditionalFormatting sqref="C52">
    <cfRule type="expression" dxfId="597" priority="778">
      <formula>AND(MONTH(DATE($G$1,9,ROW()-40))=9,WEEKDAY(DATE($G$1,9,ROW()-40),2)&gt;5)</formula>
    </cfRule>
    <cfRule type="expression" dxfId="596" priority="780">
      <formula>MONTH(DATE($G$1,9,ROW()-40))&lt;&gt;9</formula>
    </cfRule>
  </conditionalFormatting>
  <conditionalFormatting sqref="C53">
    <cfRule type="expression" dxfId="595" priority="781">
      <formula>AND(MONTH(DATE($G$1,9,ROW()-40))=9,WEEKDAY(DATE($G$1,9,ROW()-40),2)&gt;5)</formula>
    </cfRule>
    <cfRule type="expression" dxfId="594" priority="783">
      <formula>MONTH(DATE($G$1,9,ROW()-40))&lt;&gt;9</formula>
    </cfRule>
  </conditionalFormatting>
  <conditionalFormatting sqref="C54">
    <cfRule type="expression" dxfId="593" priority="784">
      <formula>AND(MONTH(DATE($G$1,9,ROW()-40))=9,WEEKDAY(DATE($G$1,9,ROW()-40),2)&gt;5)</formula>
    </cfRule>
    <cfRule type="expression" dxfId="592" priority="786">
      <formula>MONTH(DATE($G$1,9,ROW()-40))&lt;&gt;9</formula>
    </cfRule>
  </conditionalFormatting>
  <conditionalFormatting sqref="C55">
    <cfRule type="expression" dxfId="591" priority="787">
      <formula>AND(MONTH(DATE($G$1,9,ROW()-40))=9,WEEKDAY(DATE($G$1,9,ROW()-40),2)&gt;5)</formula>
    </cfRule>
    <cfRule type="expression" dxfId="590" priority="789">
      <formula>MONTH(DATE($G$1,9,ROW()-40))&lt;&gt;9</formula>
    </cfRule>
  </conditionalFormatting>
  <conditionalFormatting sqref="C56">
    <cfRule type="expression" dxfId="589" priority="790">
      <formula>AND(MONTH(DATE($G$1,9,ROW()-40))=9,WEEKDAY(DATE($G$1,9,ROW()-40),2)&gt;5)</formula>
    </cfRule>
    <cfRule type="expression" dxfId="588" priority="792">
      <formula>MONTH(DATE($G$1,9,ROW()-40))&lt;&gt;9</formula>
    </cfRule>
  </conditionalFormatting>
  <conditionalFormatting sqref="C57">
    <cfRule type="expression" dxfId="587" priority="793">
      <formula>AND(MONTH(DATE($G$1,9,ROW()-40))=9,WEEKDAY(DATE($G$1,9,ROW()-40),2)&gt;5)</formula>
    </cfRule>
    <cfRule type="expression" dxfId="586" priority="795">
      <formula>MONTH(DATE($G$1,9,ROW()-40))&lt;&gt;9</formula>
    </cfRule>
  </conditionalFormatting>
  <conditionalFormatting sqref="C58">
    <cfRule type="expression" dxfId="585" priority="796">
      <formula>AND(MONTH(DATE($G$1,9,ROW()-40))=9,WEEKDAY(DATE($G$1,9,ROW()-40),2)&gt;5)</formula>
    </cfRule>
    <cfRule type="expression" dxfId="584" priority="798">
      <formula>MONTH(DATE($G$1,9,ROW()-40))&lt;&gt;9</formula>
    </cfRule>
  </conditionalFormatting>
  <conditionalFormatting sqref="C59">
    <cfRule type="expression" dxfId="583" priority="799">
      <formula>AND(MONTH(DATE($G$1,9,ROW()-40))=9,WEEKDAY(DATE($G$1,9,ROW()-40),2)&gt;5)</formula>
    </cfRule>
    <cfRule type="expression" dxfId="582" priority="801">
      <formula>MONTH(DATE($G$1,9,ROW()-40))&lt;&gt;9</formula>
    </cfRule>
  </conditionalFormatting>
  <conditionalFormatting sqref="C60">
    <cfRule type="expression" dxfId="581" priority="802">
      <formula>AND(MONTH(DATE($G$1,9,ROW()-40))=9,WEEKDAY(DATE($G$1,9,ROW()-40),2)&gt;5)</formula>
    </cfRule>
    <cfRule type="expression" dxfId="580" priority="804">
      <formula>MONTH(DATE($G$1,9,ROW()-40))&lt;&gt;9</formula>
    </cfRule>
  </conditionalFormatting>
  <conditionalFormatting sqref="C61">
    <cfRule type="expression" dxfId="579" priority="805">
      <formula>AND(MONTH(DATE($G$1,9,ROW()-40))=9,WEEKDAY(DATE($G$1,9,ROW()-40),2)&gt;5)</formula>
    </cfRule>
    <cfRule type="expression" dxfId="578" priority="807">
      <formula>MONTH(DATE($G$1,9,ROW()-40))&lt;&gt;9</formula>
    </cfRule>
  </conditionalFormatting>
  <conditionalFormatting sqref="C62">
    <cfRule type="expression" dxfId="577" priority="808">
      <formula>AND(MONTH(DATE($G$1,9,ROW()-40))=9,WEEKDAY(DATE($G$1,9,ROW()-40),2)&gt;5)</formula>
    </cfRule>
    <cfRule type="expression" dxfId="576" priority="810">
      <formula>MONTH(DATE($G$1,9,ROW()-40))&lt;&gt;9</formula>
    </cfRule>
  </conditionalFormatting>
  <conditionalFormatting sqref="C63">
    <cfRule type="expression" dxfId="575" priority="811">
      <formula>AND(MONTH(DATE($G$1,9,ROW()-40))=9,WEEKDAY(DATE($G$1,9,ROW()-40),2)&gt;5)</formula>
    </cfRule>
    <cfRule type="expression" dxfId="574" priority="813">
      <formula>MONTH(DATE($G$1,9,ROW()-40))&lt;&gt;9</formula>
    </cfRule>
  </conditionalFormatting>
  <conditionalFormatting sqref="C64">
    <cfRule type="expression" dxfId="573" priority="814">
      <formula>AND(MONTH(DATE($G$1,9,ROW()-40))=9,WEEKDAY(DATE($G$1,9,ROW()-40),2)&gt;5)</formula>
    </cfRule>
    <cfRule type="expression" dxfId="572" priority="816">
      <formula>MONTH(DATE($G$1,9,ROW()-40))&lt;&gt;9</formula>
    </cfRule>
  </conditionalFormatting>
  <conditionalFormatting sqref="C65">
    <cfRule type="expression" dxfId="571" priority="817">
      <formula>AND(MONTH(DATE($G$1,9,ROW()-40))=9,WEEKDAY(DATE($G$1,9,ROW()-40),2)&gt;5)</formula>
    </cfRule>
    <cfRule type="expression" dxfId="570" priority="819">
      <formula>MONTH(DATE($G$1,9,ROW()-40))&lt;&gt;9</formula>
    </cfRule>
  </conditionalFormatting>
  <conditionalFormatting sqref="C66">
    <cfRule type="expression" dxfId="569" priority="820">
      <formula>AND(MONTH(DATE($G$1,9,ROW()-40))=9,WEEKDAY(DATE($G$1,9,ROW()-40),2)&gt;5)</formula>
    </cfRule>
    <cfRule type="expression" dxfId="568" priority="822">
      <formula>MONTH(DATE($G$1,9,ROW()-40))&lt;&gt;9</formula>
    </cfRule>
  </conditionalFormatting>
  <conditionalFormatting sqref="C67">
    <cfRule type="expression" dxfId="567" priority="823">
      <formula>AND(MONTH(DATE($G$1,9,ROW()-40))=9,WEEKDAY(DATE($G$1,9,ROW()-40),2)&gt;5)</formula>
    </cfRule>
    <cfRule type="expression" dxfId="566" priority="825">
      <formula>MONTH(DATE($G$1,9,ROW()-40))&lt;&gt;9</formula>
    </cfRule>
  </conditionalFormatting>
  <conditionalFormatting sqref="C68">
    <cfRule type="expression" dxfId="565" priority="826">
      <formula>AND(MONTH(DATE($G$1,9,ROW()-40))=9,WEEKDAY(DATE($G$1,9,ROW()-40),2)&gt;5)</formula>
    </cfRule>
    <cfRule type="expression" dxfId="564" priority="828">
      <formula>MONTH(DATE($G$1,9,ROW()-40))&lt;&gt;9</formula>
    </cfRule>
  </conditionalFormatting>
  <conditionalFormatting sqref="C69">
    <cfRule type="expression" dxfId="563" priority="829">
      <formula>AND(MONTH(DATE($G$1,9,ROW()-40))=9,WEEKDAY(DATE($G$1,9,ROW()-40),2)&gt;5)</formula>
    </cfRule>
    <cfRule type="expression" dxfId="562" priority="831">
      <formula>MONTH(DATE($G$1,9,ROW()-40))&lt;&gt;9</formula>
    </cfRule>
  </conditionalFormatting>
  <conditionalFormatting sqref="C70">
    <cfRule type="expression" dxfId="561" priority="832">
      <formula>AND(MONTH(DATE($G$1,9,ROW()-40))=9,WEEKDAY(DATE($G$1,9,ROW()-40),2)&gt;5)</formula>
    </cfRule>
    <cfRule type="expression" dxfId="560" priority="834">
      <formula>MONTH(DATE($G$1,9,ROW()-40))&lt;&gt;9</formula>
    </cfRule>
  </conditionalFormatting>
  <conditionalFormatting sqref="C71">
    <cfRule type="expression" dxfId="559" priority="835">
      <formula>AND(MONTH(DATE($G$1,9,ROW()-40))=9,WEEKDAY(DATE($G$1,9,ROW()-40),2)&gt;5)</formula>
    </cfRule>
    <cfRule type="expression" dxfId="558" priority="837">
      <formula>MONTH(DATE($G$1,9,ROW()-40))&lt;&gt;9</formula>
    </cfRule>
  </conditionalFormatting>
  <conditionalFormatting sqref="D41">
    <cfRule type="expression" dxfId="557" priority="838">
      <formula>AND(MONTH(DATE($G$1,10,ROW()-40))=10,WEEKDAY(DATE($G$1,10,ROW()-40),2)&gt;5)</formula>
    </cfRule>
    <cfRule type="expression" dxfId="556" priority="840">
      <formula>MONTH(DATE($G$1,10,ROW()-40))&lt;&gt;10</formula>
    </cfRule>
  </conditionalFormatting>
  <conditionalFormatting sqref="D42">
    <cfRule type="expression" dxfId="555" priority="841">
      <formula>AND(MONTH(DATE($G$1,10,ROW()-40))=10,WEEKDAY(DATE($G$1,10,ROW()-40),2)&gt;5)</formula>
    </cfRule>
    <cfRule type="expression" dxfId="554" priority="843">
      <formula>MONTH(DATE($G$1,10,ROW()-40))&lt;&gt;10</formula>
    </cfRule>
  </conditionalFormatting>
  <conditionalFormatting sqref="D43">
    <cfRule type="expression" dxfId="553" priority="844">
      <formula>AND(MONTH(DATE($G$1,10,ROW()-40))=10,WEEKDAY(DATE($G$1,10,ROW()-40),2)&gt;5)</formula>
    </cfRule>
    <cfRule type="expression" dxfId="552" priority="846">
      <formula>MONTH(DATE($G$1,10,ROW()-40))&lt;&gt;10</formula>
    </cfRule>
  </conditionalFormatting>
  <conditionalFormatting sqref="D44">
    <cfRule type="expression" dxfId="551" priority="847">
      <formula>AND(MONTH(DATE($G$1,10,ROW()-40))=10,WEEKDAY(DATE($G$1,10,ROW()-40),2)&gt;5)</formula>
    </cfRule>
    <cfRule type="expression" dxfId="550" priority="849">
      <formula>MONTH(DATE($G$1,10,ROW()-40))&lt;&gt;10</formula>
    </cfRule>
  </conditionalFormatting>
  <conditionalFormatting sqref="D45">
    <cfRule type="expression" dxfId="549" priority="850">
      <formula>AND(MONTH(DATE($G$1,10,ROW()-40))=10,WEEKDAY(DATE($G$1,10,ROW()-40),2)&gt;5)</formula>
    </cfRule>
    <cfRule type="expression" dxfId="548" priority="852">
      <formula>MONTH(DATE($G$1,10,ROW()-40))&lt;&gt;10</formula>
    </cfRule>
  </conditionalFormatting>
  <conditionalFormatting sqref="D46">
    <cfRule type="expression" dxfId="547" priority="853">
      <formula>AND(MONTH(DATE($G$1,10,ROW()-40))=10,WEEKDAY(DATE($G$1,10,ROW()-40),2)&gt;5)</formula>
    </cfRule>
    <cfRule type="expression" dxfId="546" priority="855">
      <formula>MONTH(DATE($G$1,10,ROW()-40))&lt;&gt;10</formula>
    </cfRule>
  </conditionalFormatting>
  <conditionalFormatting sqref="D47">
    <cfRule type="expression" dxfId="545" priority="856">
      <formula>AND(MONTH(DATE($G$1,10,ROW()-40))=10,WEEKDAY(DATE($G$1,10,ROW()-40),2)&gt;5)</formula>
    </cfRule>
    <cfRule type="expression" dxfId="544" priority="858">
      <formula>MONTH(DATE($G$1,10,ROW()-40))&lt;&gt;10</formula>
    </cfRule>
  </conditionalFormatting>
  <conditionalFormatting sqref="D48">
    <cfRule type="expression" dxfId="543" priority="859">
      <formula>AND(MONTH(DATE($G$1,10,ROW()-40))=10,WEEKDAY(DATE($G$1,10,ROW()-40),2)&gt;5)</formula>
    </cfRule>
    <cfRule type="expression" dxfId="542" priority="861">
      <formula>MONTH(DATE($G$1,10,ROW()-40))&lt;&gt;10</formula>
    </cfRule>
  </conditionalFormatting>
  <conditionalFormatting sqref="D49">
    <cfRule type="expression" dxfId="541" priority="862">
      <formula>AND(MONTH(DATE($G$1,10,ROW()-40))=10,WEEKDAY(DATE($G$1,10,ROW()-40),2)&gt;5)</formula>
    </cfRule>
    <cfRule type="expression" dxfId="540" priority="864">
      <formula>MONTH(DATE($G$1,10,ROW()-40))&lt;&gt;10</formula>
    </cfRule>
  </conditionalFormatting>
  <conditionalFormatting sqref="D50">
    <cfRule type="expression" dxfId="539" priority="865">
      <formula>AND(MONTH(DATE($G$1,10,ROW()-40))=10,WEEKDAY(DATE($G$1,10,ROW()-40),2)&gt;5)</formula>
    </cfRule>
    <cfRule type="expression" dxfId="538" priority="867">
      <formula>MONTH(DATE($G$1,10,ROW()-40))&lt;&gt;10</formula>
    </cfRule>
  </conditionalFormatting>
  <conditionalFormatting sqref="D51">
    <cfRule type="expression" dxfId="537" priority="868">
      <formula>AND(MONTH(DATE($G$1,10,ROW()-40))=10,WEEKDAY(DATE($G$1,10,ROW()-40),2)&gt;5)</formula>
    </cfRule>
    <cfRule type="expression" dxfId="536" priority="870">
      <formula>MONTH(DATE($G$1,10,ROW()-40))&lt;&gt;10</formula>
    </cfRule>
  </conditionalFormatting>
  <conditionalFormatting sqref="D52">
    <cfRule type="expression" dxfId="535" priority="871">
      <formula>AND(MONTH(DATE($G$1,10,ROW()-40))=10,WEEKDAY(DATE($G$1,10,ROW()-40),2)&gt;5)</formula>
    </cfRule>
    <cfRule type="expression" dxfId="534" priority="873">
      <formula>MONTH(DATE($G$1,10,ROW()-40))&lt;&gt;10</formula>
    </cfRule>
  </conditionalFormatting>
  <conditionalFormatting sqref="D53">
    <cfRule type="expression" dxfId="533" priority="874">
      <formula>AND(MONTH(DATE($G$1,10,ROW()-40))=10,WEEKDAY(DATE($G$1,10,ROW()-40),2)&gt;5)</formula>
    </cfRule>
    <cfRule type="expression" dxfId="532" priority="876">
      <formula>MONTH(DATE($G$1,10,ROW()-40))&lt;&gt;10</formula>
    </cfRule>
  </conditionalFormatting>
  <conditionalFormatting sqref="D54">
    <cfRule type="expression" dxfId="531" priority="877">
      <formula>AND(MONTH(DATE($G$1,10,ROW()-40))=10,WEEKDAY(DATE($G$1,10,ROW()-40),2)&gt;5)</formula>
    </cfRule>
    <cfRule type="expression" dxfId="530" priority="879">
      <formula>MONTH(DATE($G$1,10,ROW()-40))&lt;&gt;10</formula>
    </cfRule>
  </conditionalFormatting>
  <conditionalFormatting sqref="D55">
    <cfRule type="expression" dxfId="529" priority="880">
      <formula>AND(MONTH(DATE($G$1,10,ROW()-40))=10,WEEKDAY(DATE($G$1,10,ROW()-40),2)&gt;5)</formula>
    </cfRule>
    <cfRule type="expression" dxfId="528" priority="882">
      <formula>MONTH(DATE($G$1,10,ROW()-40))&lt;&gt;10</formula>
    </cfRule>
  </conditionalFormatting>
  <conditionalFormatting sqref="D56">
    <cfRule type="expression" dxfId="527" priority="883">
      <formula>AND(MONTH(DATE($G$1,10,ROW()-40))=10,WEEKDAY(DATE($G$1,10,ROW()-40),2)&gt;5)</formula>
    </cfRule>
    <cfRule type="expression" dxfId="526" priority="885">
      <formula>MONTH(DATE($G$1,10,ROW()-40))&lt;&gt;10</formula>
    </cfRule>
  </conditionalFormatting>
  <conditionalFormatting sqref="D57">
    <cfRule type="expression" dxfId="525" priority="886">
      <formula>AND(MONTH(DATE($G$1,10,ROW()-40))=10,WEEKDAY(DATE($G$1,10,ROW()-40),2)&gt;5)</formula>
    </cfRule>
    <cfRule type="expression" dxfId="524" priority="888">
      <formula>MONTH(DATE($G$1,10,ROW()-40))&lt;&gt;10</formula>
    </cfRule>
  </conditionalFormatting>
  <conditionalFormatting sqref="D58">
    <cfRule type="expression" dxfId="523" priority="889">
      <formula>AND(MONTH(DATE($G$1,10,ROW()-40))=10,WEEKDAY(DATE($G$1,10,ROW()-40),2)&gt;5)</formula>
    </cfRule>
    <cfRule type="expression" dxfId="522" priority="891">
      <formula>MONTH(DATE($G$1,10,ROW()-40))&lt;&gt;10</formula>
    </cfRule>
  </conditionalFormatting>
  <conditionalFormatting sqref="D59">
    <cfRule type="expression" dxfId="521" priority="892">
      <formula>AND(MONTH(DATE($G$1,10,ROW()-40))=10,WEEKDAY(DATE($G$1,10,ROW()-40),2)&gt;5)</formula>
    </cfRule>
    <cfRule type="expression" dxfId="520" priority="894">
      <formula>MONTH(DATE($G$1,10,ROW()-40))&lt;&gt;10</formula>
    </cfRule>
  </conditionalFormatting>
  <conditionalFormatting sqref="D60">
    <cfRule type="expression" dxfId="519" priority="895">
      <formula>AND(MONTH(DATE($G$1,10,ROW()-40))=10,WEEKDAY(DATE($G$1,10,ROW()-40),2)&gt;5)</formula>
    </cfRule>
    <cfRule type="expression" dxfId="518" priority="897">
      <formula>MONTH(DATE($G$1,10,ROW()-40))&lt;&gt;10</formula>
    </cfRule>
  </conditionalFormatting>
  <conditionalFormatting sqref="D61">
    <cfRule type="expression" dxfId="517" priority="898">
      <formula>AND(MONTH(DATE($G$1,10,ROW()-40))=10,WEEKDAY(DATE($G$1,10,ROW()-40),2)&gt;5)</formula>
    </cfRule>
    <cfRule type="expression" dxfId="516" priority="900">
      <formula>MONTH(DATE($G$1,10,ROW()-40))&lt;&gt;10</formula>
    </cfRule>
  </conditionalFormatting>
  <conditionalFormatting sqref="D62">
    <cfRule type="expression" dxfId="515" priority="901">
      <formula>AND(MONTH(DATE($G$1,10,ROW()-40))=10,WEEKDAY(DATE($G$1,10,ROW()-40),2)&gt;5)</formula>
    </cfRule>
    <cfRule type="expression" dxfId="514" priority="903">
      <formula>MONTH(DATE($G$1,10,ROW()-40))&lt;&gt;10</formula>
    </cfRule>
  </conditionalFormatting>
  <conditionalFormatting sqref="D63">
    <cfRule type="expression" dxfId="513" priority="904">
      <formula>AND(MONTH(DATE($G$1,10,ROW()-40))=10,WEEKDAY(DATE($G$1,10,ROW()-40),2)&gt;5)</formula>
    </cfRule>
    <cfRule type="expression" dxfId="512" priority="906">
      <formula>MONTH(DATE($G$1,10,ROW()-40))&lt;&gt;10</formula>
    </cfRule>
  </conditionalFormatting>
  <conditionalFormatting sqref="D64">
    <cfRule type="expression" dxfId="511" priority="907">
      <formula>AND(MONTH(DATE($G$1,10,ROW()-40))=10,WEEKDAY(DATE($G$1,10,ROW()-40),2)&gt;5)</formula>
    </cfRule>
    <cfRule type="expression" dxfId="510" priority="909">
      <formula>MONTH(DATE($G$1,10,ROW()-40))&lt;&gt;10</formula>
    </cfRule>
  </conditionalFormatting>
  <conditionalFormatting sqref="D65">
    <cfRule type="expression" dxfId="509" priority="910">
      <formula>AND(MONTH(DATE($G$1,10,ROW()-40))=10,WEEKDAY(DATE($G$1,10,ROW()-40),2)&gt;5)</formula>
    </cfRule>
    <cfRule type="expression" dxfId="508" priority="912">
      <formula>MONTH(DATE($G$1,10,ROW()-40))&lt;&gt;10</formula>
    </cfRule>
  </conditionalFormatting>
  <conditionalFormatting sqref="D66">
    <cfRule type="expression" dxfId="507" priority="913">
      <formula>AND(MONTH(DATE($G$1,10,ROW()-40))=10,WEEKDAY(DATE($G$1,10,ROW()-40),2)&gt;5)</formula>
    </cfRule>
    <cfRule type="expression" dxfId="506" priority="915">
      <formula>MONTH(DATE($G$1,10,ROW()-40))&lt;&gt;10</formula>
    </cfRule>
  </conditionalFormatting>
  <conditionalFormatting sqref="D67">
    <cfRule type="expression" dxfId="505" priority="916">
      <formula>AND(MONTH(DATE($G$1,10,ROW()-40))=10,WEEKDAY(DATE($G$1,10,ROW()-40),2)&gt;5)</formula>
    </cfRule>
    <cfRule type="expression" dxfId="504" priority="918">
      <formula>MONTH(DATE($G$1,10,ROW()-40))&lt;&gt;10</formula>
    </cfRule>
  </conditionalFormatting>
  <conditionalFormatting sqref="D68">
    <cfRule type="expression" dxfId="503" priority="919">
      <formula>AND(MONTH(DATE($G$1,10,ROW()-40))=10,WEEKDAY(DATE($G$1,10,ROW()-40),2)&gt;5)</formula>
    </cfRule>
    <cfRule type="expression" dxfId="502" priority="921">
      <formula>MONTH(DATE($G$1,10,ROW()-40))&lt;&gt;10</formula>
    </cfRule>
  </conditionalFormatting>
  <conditionalFormatting sqref="D69">
    <cfRule type="expression" dxfId="501" priority="922">
      <formula>AND(MONTH(DATE($G$1,10,ROW()-40))=10,WEEKDAY(DATE($G$1,10,ROW()-40),2)&gt;5)</formula>
    </cfRule>
    <cfRule type="expression" dxfId="500" priority="924">
      <formula>MONTH(DATE($G$1,10,ROW()-40))&lt;&gt;10</formula>
    </cfRule>
  </conditionalFormatting>
  <conditionalFormatting sqref="D70">
    <cfRule type="expression" dxfId="499" priority="925">
      <formula>AND(MONTH(DATE($G$1,10,ROW()-40))=10,WEEKDAY(DATE($G$1,10,ROW()-40),2)&gt;5)</formula>
    </cfRule>
    <cfRule type="expression" dxfId="498" priority="927">
      <formula>MONTH(DATE($G$1,10,ROW()-40))&lt;&gt;10</formula>
    </cfRule>
  </conditionalFormatting>
  <conditionalFormatting sqref="D71">
    <cfRule type="expression" dxfId="497" priority="928">
      <formula>AND(MONTH(DATE($G$1,10,ROW()-40))=10,WEEKDAY(DATE($G$1,10,ROW()-40),2)&gt;5)</formula>
    </cfRule>
    <cfRule type="expression" dxfId="496" priority="930">
      <formula>MONTH(DATE($G$1,10,ROW()-40))&lt;&gt;10</formula>
    </cfRule>
  </conditionalFormatting>
  <conditionalFormatting sqref="E41">
    <cfRule type="expression" dxfId="495" priority="931">
      <formula>AND(MONTH(DATE($G$1,11,ROW()-40))=11,WEEKDAY(DATE($G$1,11,ROW()-40),2)&gt;5)</formula>
    </cfRule>
    <cfRule type="expression" dxfId="494" priority="933">
      <formula>MONTH(DATE($G$1,11,ROW()-40))&lt;&gt;11</formula>
    </cfRule>
  </conditionalFormatting>
  <conditionalFormatting sqref="E42">
    <cfRule type="expression" dxfId="493" priority="934">
      <formula>AND(MONTH(DATE($G$1,11,ROW()-40))=11,WEEKDAY(DATE($G$1,11,ROW()-40),2)&gt;5)</formula>
    </cfRule>
    <cfRule type="expression" dxfId="492" priority="936">
      <formula>MONTH(DATE($G$1,11,ROW()-40))&lt;&gt;11</formula>
    </cfRule>
  </conditionalFormatting>
  <conditionalFormatting sqref="E43">
    <cfRule type="expression" dxfId="491" priority="937">
      <formula>AND(MONTH(DATE($G$1,11,ROW()-40))=11,WEEKDAY(DATE($G$1,11,ROW()-40),2)&gt;5)</formula>
    </cfRule>
    <cfRule type="expression" dxfId="490" priority="939">
      <formula>MONTH(DATE($G$1,11,ROW()-40))&lt;&gt;11</formula>
    </cfRule>
  </conditionalFormatting>
  <conditionalFormatting sqref="E44">
    <cfRule type="expression" dxfId="489" priority="940">
      <formula>AND(MONTH(DATE($G$1,11,ROW()-40))=11,WEEKDAY(DATE($G$1,11,ROW()-40),2)&gt;5)</formula>
    </cfRule>
    <cfRule type="expression" dxfId="488" priority="942">
      <formula>MONTH(DATE($G$1,11,ROW()-40))&lt;&gt;11</formula>
    </cfRule>
  </conditionalFormatting>
  <conditionalFormatting sqref="E45">
    <cfRule type="expression" dxfId="487" priority="943">
      <formula>AND(MONTH(DATE($G$1,11,ROW()-40))=11,WEEKDAY(DATE($G$1,11,ROW()-40),2)&gt;5)</formula>
    </cfRule>
    <cfRule type="expression" dxfId="486" priority="945">
      <formula>MONTH(DATE($G$1,11,ROW()-40))&lt;&gt;11</formula>
    </cfRule>
  </conditionalFormatting>
  <conditionalFormatting sqref="E46">
    <cfRule type="expression" dxfId="485" priority="946">
      <formula>AND(MONTH(DATE($G$1,11,ROW()-40))=11,WEEKDAY(DATE($G$1,11,ROW()-40),2)&gt;5)</formula>
    </cfRule>
    <cfRule type="expression" dxfId="484" priority="948">
      <formula>MONTH(DATE($G$1,11,ROW()-40))&lt;&gt;11</formula>
    </cfRule>
  </conditionalFormatting>
  <conditionalFormatting sqref="E47">
    <cfRule type="expression" dxfId="483" priority="949">
      <formula>AND(MONTH(DATE($G$1,11,ROW()-40))=11,WEEKDAY(DATE($G$1,11,ROW()-40),2)&gt;5)</formula>
    </cfRule>
    <cfRule type="expression" dxfId="482" priority="951">
      <formula>MONTH(DATE($G$1,11,ROW()-40))&lt;&gt;11</formula>
    </cfRule>
  </conditionalFormatting>
  <conditionalFormatting sqref="E48">
    <cfRule type="expression" dxfId="481" priority="952">
      <formula>AND(MONTH(DATE($G$1,11,ROW()-40))=11,WEEKDAY(DATE($G$1,11,ROW()-40),2)&gt;5)</formula>
    </cfRule>
    <cfRule type="expression" dxfId="480" priority="954">
      <formula>MONTH(DATE($G$1,11,ROW()-40))&lt;&gt;11</formula>
    </cfRule>
  </conditionalFormatting>
  <conditionalFormatting sqref="E49">
    <cfRule type="expression" dxfId="479" priority="955">
      <formula>AND(MONTH(DATE($G$1,11,ROW()-40))=11,WEEKDAY(DATE($G$1,11,ROW()-40),2)&gt;5)</formula>
    </cfRule>
    <cfRule type="expression" dxfId="478" priority="957">
      <formula>MONTH(DATE($G$1,11,ROW()-40))&lt;&gt;11</formula>
    </cfRule>
  </conditionalFormatting>
  <conditionalFormatting sqref="E50">
    <cfRule type="expression" dxfId="477" priority="958">
      <formula>AND(MONTH(DATE($G$1,11,ROW()-40))=11,WEEKDAY(DATE($G$1,11,ROW()-40),2)&gt;5)</formula>
    </cfRule>
    <cfRule type="expression" dxfId="476" priority="960">
      <formula>MONTH(DATE($G$1,11,ROW()-40))&lt;&gt;11</formula>
    </cfRule>
  </conditionalFormatting>
  <conditionalFormatting sqref="E51">
    <cfRule type="expression" dxfId="475" priority="961">
      <formula>AND(MONTH(DATE($G$1,11,ROW()-40))=11,WEEKDAY(DATE($G$1,11,ROW()-40),2)&gt;5)</formula>
    </cfRule>
    <cfRule type="expression" dxfId="474" priority="963">
      <formula>MONTH(DATE($G$1,11,ROW()-40))&lt;&gt;11</formula>
    </cfRule>
  </conditionalFormatting>
  <conditionalFormatting sqref="E52">
    <cfRule type="expression" dxfId="473" priority="964">
      <formula>AND(MONTH(DATE($G$1,11,ROW()-40))=11,WEEKDAY(DATE($G$1,11,ROW()-40),2)&gt;5)</formula>
    </cfRule>
    <cfRule type="expression" dxfId="472" priority="966">
      <formula>MONTH(DATE($G$1,11,ROW()-40))&lt;&gt;11</formula>
    </cfRule>
  </conditionalFormatting>
  <conditionalFormatting sqref="E53">
    <cfRule type="expression" dxfId="471" priority="967">
      <formula>AND(MONTH(DATE($G$1,11,ROW()-40))=11,WEEKDAY(DATE($G$1,11,ROW()-40),2)&gt;5)</formula>
    </cfRule>
    <cfRule type="expression" dxfId="470" priority="969">
      <formula>MONTH(DATE($G$1,11,ROW()-40))&lt;&gt;11</formula>
    </cfRule>
  </conditionalFormatting>
  <conditionalFormatting sqref="E54">
    <cfRule type="expression" dxfId="469" priority="970">
      <formula>AND(MONTH(DATE($G$1,11,ROW()-40))=11,WEEKDAY(DATE($G$1,11,ROW()-40),2)&gt;5)</formula>
    </cfRule>
    <cfRule type="expression" dxfId="468" priority="972">
      <formula>MONTH(DATE($G$1,11,ROW()-40))&lt;&gt;11</formula>
    </cfRule>
  </conditionalFormatting>
  <conditionalFormatting sqref="E55">
    <cfRule type="expression" dxfId="467" priority="973">
      <formula>AND(MONTH(DATE($G$1,11,ROW()-40))=11,WEEKDAY(DATE($G$1,11,ROW()-40),2)&gt;5)</formula>
    </cfRule>
    <cfRule type="expression" dxfId="466" priority="975">
      <formula>MONTH(DATE($G$1,11,ROW()-40))&lt;&gt;11</formula>
    </cfRule>
  </conditionalFormatting>
  <conditionalFormatting sqref="E56">
    <cfRule type="expression" dxfId="465" priority="976">
      <formula>AND(MONTH(DATE($G$1,11,ROW()-40))=11,WEEKDAY(DATE($G$1,11,ROW()-40),2)&gt;5)</formula>
    </cfRule>
    <cfRule type="expression" dxfId="464" priority="978">
      <formula>MONTH(DATE($G$1,11,ROW()-40))&lt;&gt;11</formula>
    </cfRule>
  </conditionalFormatting>
  <conditionalFormatting sqref="E57">
    <cfRule type="expression" dxfId="463" priority="979">
      <formula>AND(MONTH(DATE($G$1,11,ROW()-40))=11,WEEKDAY(DATE($G$1,11,ROW()-40),2)&gt;5)</formula>
    </cfRule>
    <cfRule type="expression" dxfId="462" priority="981">
      <formula>MONTH(DATE($G$1,11,ROW()-40))&lt;&gt;11</formula>
    </cfRule>
  </conditionalFormatting>
  <conditionalFormatting sqref="E58">
    <cfRule type="expression" dxfId="461" priority="982">
      <formula>AND(MONTH(DATE($G$1,11,ROW()-40))=11,WEEKDAY(DATE($G$1,11,ROW()-40),2)&gt;5)</formula>
    </cfRule>
    <cfRule type="expression" dxfId="460" priority="984">
      <formula>MONTH(DATE($G$1,11,ROW()-40))&lt;&gt;11</formula>
    </cfRule>
  </conditionalFormatting>
  <conditionalFormatting sqref="E59">
    <cfRule type="expression" dxfId="459" priority="985">
      <formula>AND(MONTH(DATE($G$1,11,ROW()-40))=11,WEEKDAY(DATE($G$1,11,ROW()-40),2)&gt;5)</formula>
    </cfRule>
    <cfRule type="expression" dxfId="458" priority="987">
      <formula>MONTH(DATE($G$1,11,ROW()-40))&lt;&gt;11</formula>
    </cfRule>
  </conditionalFormatting>
  <conditionalFormatting sqref="E60">
    <cfRule type="expression" dxfId="457" priority="988">
      <formula>AND(MONTH(DATE($G$1,11,ROW()-40))=11,WEEKDAY(DATE($G$1,11,ROW()-40),2)&gt;5)</formula>
    </cfRule>
    <cfRule type="expression" dxfId="456" priority="990">
      <formula>MONTH(DATE($G$1,11,ROW()-40))&lt;&gt;11</formula>
    </cfRule>
  </conditionalFormatting>
  <conditionalFormatting sqref="E61">
    <cfRule type="expression" dxfId="455" priority="991">
      <formula>AND(MONTH(DATE($G$1,11,ROW()-40))=11,WEEKDAY(DATE($G$1,11,ROW()-40),2)&gt;5)</formula>
    </cfRule>
    <cfRule type="expression" dxfId="454" priority="993">
      <formula>MONTH(DATE($G$1,11,ROW()-40))&lt;&gt;11</formula>
    </cfRule>
  </conditionalFormatting>
  <conditionalFormatting sqref="E62">
    <cfRule type="expression" dxfId="453" priority="994">
      <formula>AND(MONTH(DATE($G$1,11,ROW()-40))=11,WEEKDAY(DATE($G$1,11,ROW()-40),2)&gt;5)</formula>
    </cfRule>
    <cfRule type="expression" dxfId="452" priority="996">
      <formula>MONTH(DATE($G$1,11,ROW()-40))&lt;&gt;11</formula>
    </cfRule>
  </conditionalFormatting>
  <conditionalFormatting sqref="E63">
    <cfRule type="expression" dxfId="451" priority="997">
      <formula>AND(MONTH(DATE($G$1,11,ROW()-40))=11,WEEKDAY(DATE($G$1,11,ROW()-40),2)&gt;5)</formula>
    </cfRule>
    <cfRule type="expression" dxfId="450" priority="999">
      <formula>MONTH(DATE($G$1,11,ROW()-40))&lt;&gt;11</formula>
    </cfRule>
  </conditionalFormatting>
  <conditionalFormatting sqref="E64">
    <cfRule type="expression" dxfId="449" priority="1000">
      <formula>AND(MONTH(DATE($G$1,11,ROW()-40))=11,WEEKDAY(DATE($G$1,11,ROW()-40),2)&gt;5)</formula>
    </cfRule>
    <cfRule type="expression" dxfId="448" priority="1002">
      <formula>MONTH(DATE($G$1,11,ROW()-40))&lt;&gt;11</formula>
    </cfRule>
  </conditionalFormatting>
  <conditionalFormatting sqref="E65">
    <cfRule type="expression" dxfId="447" priority="1003">
      <formula>AND(MONTH(DATE($G$1,11,ROW()-40))=11,WEEKDAY(DATE($G$1,11,ROW()-40),2)&gt;5)</formula>
    </cfRule>
    <cfRule type="expression" dxfId="446" priority="1005">
      <formula>MONTH(DATE($G$1,11,ROW()-40))&lt;&gt;11</formula>
    </cfRule>
  </conditionalFormatting>
  <conditionalFormatting sqref="E66">
    <cfRule type="expression" dxfId="445" priority="1006">
      <formula>AND(MONTH(DATE($G$1,11,ROW()-40))=11,WEEKDAY(DATE($G$1,11,ROW()-40),2)&gt;5)</formula>
    </cfRule>
    <cfRule type="expression" dxfId="444" priority="1008">
      <formula>MONTH(DATE($G$1,11,ROW()-40))&lt;&gt;11</formula>
    </cfRule>
  </conditionalFormatting>
  <conditionalFormatting sqref="E67">
    <cfRule type="expression" dxfId="443" priority="1009">
      <formula>AND(MONTH(DATE($G$1,11,ROW()-40))=11,WEEKDAY(DATE($G$1,11,ROW()-40),2)&gt;5)</formula>
    </cfRule>
    <cfRule type="expression" dxfId="442" priority="1011">
      <formula>MONTH(DATE($G$1,11,ROW()-40))&lt;&gt;11</formula>
    </cfRule>
  </conditionalFormatting>
  <conditionalFormatting sqref="E68">
    <cfRule type="expression" dxfId="441" priority="1012">
      <formula>AND(MONTH(DATE($G$1,11,ROW()-40))=11,WEEKDAY(DATE($G$1,11,ROW()-40),2)&gt;5)</formula>
    </cfRule>
    <cfRule type="expression" dxfId="440" priority="1014">
      <formula>MONTH(DATE($G$1,11,ROW()-40))&lt;&gt;11</formula>
    </cfRule>
  </conditionalFormatting>
  <conditionalFormatting sqref="E69">
    <cfRule type="expression" dxfId="439" priority="1015">
      <formula>AND(MONTH(DATE($G$1,11,ROW()-40))=11,WEEKDAY(DATE($G$1,11,ROW()-40),2)&gt;5)</formula>
    </cfRule>
    <cfRule type="expression" dxfId="438" priority="1017">
      <formula>MONTH(DATE($G$1,11,ROW()-40))&lt;&gt;11</formula>
    </cfRule>
  </conditionalFormatting>
  <conditionalFormatting sqref="E70">
    <cfRule type="expression" dxfId="437" priority="1018">
      <formula>AND(MONTH(DATE($G$1,11,ROW()-40))=11,WEEKDAY(DATE($G$1,11,ROW()-40),2)&gt;5)</formula>
    </cfRule>
    <cfRule type="expression" dxfId="436" priority="1020">
      <formula>MONTH(DATE($G$1,11,ROW()-40))&lt;&gt;11</formula>
    </cfRule>
  </conditionalFormatting>
  <conditionalFormatting sqref="E71">
    <cfRule type="expression" dxfId="435" priority="1021">
      <formula>AND(MONTH(DATE($G$1,11,ROW()-40))=11,WEEKDAY(DATE($G$1,11,ROW()-40),2)&gt;5)</formula>
    </cfRule>
    <cfRule type="expression" dxfId="434" priority="1023">
      <formula>MONTH(DATE($G$1,11,ROW()-40))&lt;&gt;11</formula>
    </cfRule>
  </conditionalFormatting>
  <conditionalFormatting sqref="F41">
    <cfRule type="expression" dxfId="433" priority="1024">
      <formula>AND(MONTH(DATE($G$1,12,ROW()-40))=12,WEEKDAY(DATE($G$1,12,ROW()-40),2)&gt;5)</formula>
    </cfRule>
    <cfRule type="expression" dxfId="432" priority="1026">
      <formula>MONTH(DATE($G$1,12,ROW()-40))&lt;&gt;12</formula>
    </cfRule>
  </conditionalFormatting>
  <conditionalFormatting sqref="F42">
    <cfRule type="expression" dxfId="431" priority="1027">
      <formula>AND(MONTH(DATE($G$1,12,ROW()-40))=12,WEEKDAY(DATE($G$1,12,ROW()-40),2)&gt;5)</formula>
    </cfRule>
    <cfRule type="expression" dxfId="430" priority="1029">
      <formula>MONTH(DATE($G$1,12,ROW()-40))&lt;&gt;12</formula>
    </cfRule>
  </conditionalFormatting>
  <conditionalFormatting sqref="F43">
    <cfRule type="expression" dxfId="429" priority="1030">
      <formula>AND(MONTH(DATE($G$1,12,ROW()-40))=12,WEEKDAY(DATE($G$1,12,ROW()-40),2)&gt;5)</formula>
    </cfRule>
    <cfRule type="expression" dxfId="428" priority="1032">
      <formula>MONTH(DATE($G$1,12,ROW()-40))&lt;&gt;12</formula>
    </cfRule>
  </conditionalFormatting>
  <conditionalFormatting sqref="F44">
    <cfRule type="expression" dxfId="427" priority="1033">
      <formula>AND(MONTH(DATE($G$1,12,ROW()-40))=12,WEEKDAY(DATE($G$1,12,ROW()-40),2)&gt;5)</formula>
    </cfRule>
    <cfRule type="expression" dxfId="426" priority="1035">
      <formula>MONTH(DATE($G$1,12,ROW()-40))&lt;&gt;12</formula>
    </cfRule>
  </conditionalFormatting>
  <conditionalFormatting sqref="F45">
    <cfRule type="expression" dxfId="425" priority="1036">
      <formula>AND(MONTH(DATE($G$1,12,ROW()-40))=12,WEEKDAY(DATE($G$1,12,ROW()-40),2)&gt;5)</formula>
    </cfRule>
    <cfRule type="expression" dxfId="424" priority="1038">
      <formula>MONTH(DATE($G$1,12,ROW()-40))&lt;&gt;12</formula>
    </cfRule>
  </conditionalFormatting>
  <conditionalFormatting sqref="F46">
    <cfRule type="expression" dxfId="423" priority="1039">
      <formula>AND(MONTH(DATE($G$1,12,ROW()-40))=12,WEEKDAY(DATE($G$1,12,ROW()-40),2)&gt;5)</formula>
    </cfRule>
    <cfRule type="expression" dxfId="422" priority="1041">
      <formula>MONTH(DATE($G$1,12,ROW()-40))&lt;&gt;12</formula>
    </cfRule>
  </conditionalFormatting>
  <conditionalFormatting sqref="F47">
    <cfRule type="expression" dxfId="421" priority="1042">
      <formula>AND(MONTH(DATE($G$1,12,ROW()-40))=12,WEEKDAY(DATE($G$1,12,ROW()-40),2)&gt;5)</formula>
    </cfRule>
    <cfRule type="expression" dxfId="420" priority="1044">
      <formula>MONTH(DATE($G$1,12,ROW()-40))&lt;&gt;12</formula>
    </cfRule>
  </conditionalFormatting>
  <conditionalFormatting sqref="F48">
    <cfRule type="expression" dxfId="419" priority="1045">
      <formula>AND(MONTH(DATE($G$1,12,ROW()-40))=12,WEEKDAY(DATE($G$1,12,ROW()-40),2)&gt;5)</formula>
    </cfRule>
    <cfRule type="expression" dxfId="418" priority="1047">
      <formula>MONTH(DATE($G$1,12,ROW()-40))&lt;&gt;12</formula>
    </cfRule>
  </conditionalFormatting>
  <conditionalFormatting sqref="F49">
    <cfRule type="expression" dxfId="417" priority="1048">
      <formula>AND(MONTH(DATE($G$1,12,ROW()-40))=12,WEEKDAY(DATE($G$1,12,ROW()-40),2)&gt;5)</formula>
    </cfRule>
    <cfRule type="expression" dxfId="416" priority="1050">
      <formula>MONTH(DATE($G$1,12,ROW()-40))&lt;&gt;12</formula>
    </cfRule>
  </conditionalFormatting>
  <conditionalFormatting sqref="F50">
    <cfRule type="expression" dxfId="415" priority="1051">
      <formula>AND(MONTH(DATE($G$1,12,ROW()-40))=12,WEEKDAY(DATE($G$1,12,ROW()-40),2)&gt;5)</formula>
    </cfRule>
    <cfRule type="expression" dxfId="414" priority="1053">
      <formula>MONTH(DATE($G$1,12,ROW()-40))&lt;&gt;12</formula>
    </cfRule>
  </conditionalFormatting>
  <conditionalFormatting sqref="F51">
    <cfRule type="expression" dxfId="413" priority="1054">
      <formula>AND(MONTH(DATE($G$1,12,ROW()-40))=12,WEEKDAY(DATE($G$1,12,ROW()-40),2)&gt;5)</formula>
    </cfRule>
    <cfRule type="expression" dxfId="412" priority="1056">
      <formula>MONTH(DATE($G$1,12,ROW()-40))&lt;&gt;12</formula>
    </cfRule>
  </conditionalFormatting>
  <conditionalFormatting sqref="F52">
    <cfRule type="expression" dxfId="411" priority="1057">
      <formula>AND(MONTH(DATE($G$1,12,ROW()-40))=12,WEEKDAY(DATE($G$1,12,ROW()-40),2)&gt;5)</formula>
    </cfRule>
    <cfRule type="expression" dxfId="410" priority="1059">
      <formula>MONTH(DATE($G$1,12,ROW()-40))&lt;&gt;12</formula>
    </cfRule>
  </conditionalFormatting>
  <conditionalFormatting sqref="F53">
    <cfRule type="expression" dxfId="409" priority="1060">
      <formula>AND(MONTH(DATE($G$1,12,ROW()-40))=12,WEEKDAY(DATE($G$1,12,ROW()-40),2)&gt;5)</formula>
    </cfRule>
    <cfRule type="expression" dxfId="408" priority="1062">
      <formula>MONTH(DATE($G$1,12,ROW()-40))&lt;&gt;12</formula>
    </cfRule>
  </conditionalFormatting>
  <conditionalFormatting sqref="F54">
    <cfRule type="expression" dxfId="407" priority="1063">
      <formula>AND(MONTH(DATE($G$1,12,ROW()-40))=12,WEEKDAY(DATE($G$1,12,ROW()-40),2)&gt;5)</formula>
    </cfRule>
    <cfRule type="expression" dxfId="406" priority="1065">
      <formula>MONTH(DATE($G$1,12,ROW()-40))&lt;&gt;12</formula>
    </cfRule>
  </conditionalFormatting>
  <conditionalFormatting sqref="F55">
    <cfRule type="expression" dxfId="405" priority="1066">
      <formula>AND(MONTH(DATE($G$1,12,ROW()-40))=12,WEEKDAY(DATE($G$1,12,ROW()-40),2)&gt;5)</formula>
    </cfRule>
    <cfRule type="expression" dxfId="404" priority="1068">
      <formula>MONTH(DATE($G$1,12,ROW()-40))&lt;&gt;12</formula>
    </cfRule>
  </conditionalFormatting>
  <conditionalFormatting sqref="F56">
    <cfRule type="expression" dxfId="403" priority="1069">
      <formula>AND(MONTH(DATE($G$1,12,ROW()-40))=12,WEEKDAY(DATE($G$1,12,ROW()-40),2)&gt;5)</formula>
    </cfRule>
    <cfRule type="expression" dxfId="402" priority="1071">
      <formula>MONTH(DATE($G$1,12,ROW()-40))&lt;&gt;12</formula>
    </cfRule>
  </conditionalFormatting>
  <conditionalFormatting sqref="F57">
    <cfRule type="expression" dxfId="401" priority="1072">
      <formula>AND(MONTH(DATE($G$1,12,ROW()-40))=12,WEEKDAY(DATE($G$1,12,ROW()-40),2)&gt;5)</formula>
    </cfRule>
    <cfRule type="expression" dxfId="400" priority="1074">
      <formula>MONTH(DATE($G$1,12,ROW()-40))&lt;&gt;12</formula>
    </cfRule>
  </conditionalFormatting>
  <conditionalFormatting sqref="F58">
    <cfRule type="expression" dxfId="399" priority="1075">
      <formula>AND(MONTH(DATE($G$1,12,ROW()-40))=12,WEEKDAY(DATE($G$1,12,ROW()-40),2)&gt;5)</formula>
    </cfRule>
    <cfRule type="expression" dxfId="398" priority="1077">
      <formula>MONTH(DATE($G$1,12,ROW()-40))&lt;&gt;12</formula>
    </cfRule>
  </conditionalFormatting>
  <conditionalFormatting sqref="F59">
    <cfRule type="expression" dxfId="397" priority="1078">
      <formula>AND(MONTH(DATE($G$1,12,ROW()-40))=12,WEEKDAY(DATE($G$1,12,ROW()-40),2)&gt;5)</formula>
    </cfRule>
    <cfRule type="expression" dxfId="396" priority="1080">
      <formula>MONTH(DATE($G$1,12,ROW()-40))&lt;&gt;12</formula>
    </cfRule>
  </conditionalFormatting>
  <conditionalFormatting sqref="F60">
    <cfRule type="expression" dxfId="395" priority="1081">
      <formula>AND(MONTH(DATE($G$1,12,ROW()-40))=12,WEEKDAY(DATE($G$1,12,ROW()-40),2)&gt;5)</formula>
    </cfRule>
    <cfRule type="expression" dxfId="394" priority="1083">
      <formula>MONTH(DATE($G$1,12,ROW()-40))&lt;&gt;12</formula>
    </cfRule>
  </conditionalFormatting>
  <conditionalFormatting sqref="F61">
    <cfRule type="expression" dxfId="393" priority="1084">
      <formula>AND(MONTH(DATE($G$1,12,ROW()-40))=12,WEEKDAY(DATE($G$1,12,ROW()-40),2)&gt;5)</formula>
    </cfRule>
    <cfRule type="expression" dxfId="392" priority="1086">
      <formula>MONTH(DATE($G$1,12,ROW()-40))&lt;&gt;12</formula>
    </cfRule>
  </conditionalFormatting>
  <conditionalFormatting sqref="F62">
    <cfRule type="expression" dxfId="391" priority="1087">
      <formula>AND(MONTH(DATE($G$1,12,ROW()-40))=12,WEEKDAY(DATE($G$1,12,ROW()-40),2)&gt;5)</formula>
    </cfRule>
    <cfRule type="expression" dxfId="390" priority="1089">
      <formula>MONTH(DATE($G$1,12,ROW()-40))&lt;&gt;12</formula>
    </cfRule>
  </conditionalFormatting>
  <conditionalFormatting sqref="F63">
    <cfRule type="expression" dxfId="389" priority="1090">
      <formula>AND(MONTH(DATE($G$1,12,ROW()-40))=12,WEEKDAY(DATE($G$1,12,ROW()-40),2)&gt;5)</formula>
    </cfRule>
    <cfRule type="expression" dxfId="388" priority="1092">
      <formula>MONTH(DATE($G$1,12,ROW()-40))&lt;&gt;12</formula>
    </cfRule>
  </conditionalFormatting>
  <conditionalFormatting sqref="F64">
    <cfRule type="expression" dxfId="387" priority="1093">
      <formula>AND(MONTH(DATE($G$1,12,ROW()-40))=12,WEEKDAY(DATE($G$1,12,ROW()-40),2)&gt;5)</formula>
    </cfRule>
    <cfRule type="expression" dxfId="386" priority="1095">
      <formula>MONTH(DATE($G$1,12,ROW()-40))&lt;&gt;12</formula>
    </cfRule>
  </conditionalFormatting>
  <conditionalFormatting sqref="F65">
    <cfRule type="expression" dxfId="385" priority="1096">
      <formula>AND(MONTH(DATE($G$1,12,ROW()-40))=12,WEEKDAY(DATE($G$1,12,ROW()-40),2)&gt;5)</formula>
    </cfRule>
    <cfRule type="expression" dxfId="384" priority="1098">
      <formula>MONTH(DATE($G$1,12,ROW()-40))&lt;&gt;12</formula>
    </cfRule>
  </conditionalFormatting>
  <conditionalFormatting sqref="F66">
    <cfRule type="expression" dxfId="383" priority="1099">
      <formula>AND(MONTH(DATE($G$1,12,ROW()-40))=12,WEEKDAY(DATE($G$1,12,ROW()-40),2)&gt;5)</formula>
    </cfRule>
    <cfRule type="expression" dxfId="382" priority="1101">
      <formula>MONTH(DATE($G$1,12,ROW()-40))&lt;&gt;12</formula>
    </cfRule>
  </conditionalFormatting>
  <conditionalFormatting sqref="F67">
    <cfRule type="expression" dxfId="381" priority="1102">
      <formula>AND(MONTH(DATE($G$1,12,ROW()-40))=12,WEEKDAY(DATE($G$1,12,ROW()-40),2)&gt;5)</formula>
    </cfRule>
    <cfRule type="expression" dxfId="380" priority="1104">
      <formula>MONTH(DATE($G$1,12,ROW()-40))&lt;&gt;12</formula>
    </cfRule>
  </conditionalFormatting>
  <conditionalFormatting sqref="F68">
    <cfRule type="expression" dxfId="379" priority="1105">
      <formula>AND(MONTH(DATE($G$1,12,ROW()-40))=12,WEEKDAY(DATE($G$1,12,ROW()-40),2)&gt;5)</formula>
    </cfRule>
    <cfRule type="expression" dxfId="378" priority="1107">
      <formula>MONTH(DATE($G$1,12,ROW()-40))&lt;&gt;12</formula>
    </cfRule>
  </conditionalFormatting>
  <conditionalFormatting sqref="F69">
    <cfRule type="expression" dxfId="377" priority="1108">
      <formula>AND(MONTH(DATE($G$1,12,ROW()-40))=12,WEEKDAY(DATE($G$1,12,ROW()-40),2)&gt;5)</formula>
    </cfRule>
    <cfRule type="expression" dxfId="376" priority="1110">
      <formula>MONTH(DATE($G$1,12,ROW()-40))&lt;&gt;12</formula>
    </cfRule>
  </conditionalFormatting>
  <conditionalFormatting sqref="F70">
    <cfRule type="expression" dxfId="375" priority="1111">
      <formula>AND(MONTH(DATE($G$1,12,ROW()-40))=12,WEEKDAY(DATE($G$1,12,ROW()-40),2)&gt;5)</formula>
    </cfRule>
    <cfRule type="expression" dxfId="374" priority="1113">
      <formula>MONTH(DATE($G$1,12,ROW()-40))&lt;&gt;12</formula>
    </cfRule>
  </conditionalFormatting>
  <conditionalFormatting sqref="F71">
    <cfRule type="expression" dxfId="373" priority="1114">
      <formula>AND(MONTH(DATE($G$1,12,ROW()-40))=12,WEEKDAY(DATE($G$1,12,ROW()-40),2)&gt;5)</formula>
    </cfRule>
    <cfRule type="expression" dxfId="372" priority="1116">
      <formula>MONTH(DATE($G$1,12,ROW()-40))&lt;&gt;12</formula>
    </cfRule>
  </conditionalFormatting>
  <dataValidations count="1">
    <dataValidation type="whole" errorTitle="Ungültiges Jahr" error="Bitte ein Jahr zwischen 1900 und 2100 eingeben." promptTitle="Kalenderjahr" prompt="Geben Sie das gewünschte Kalenderjahr ein." sqref="G1">
      <formula1>1900</formula1>
      <formula2>2100</formula2>
    </dataValidation>
  </dataValidations>
  <pageMargins left="0.25" right="0.25" top="0.4" bottom="0.4" header="0.5" footer="0.5"/>
  <pageSetup paperSize="8" fitToHeight="2" orientation="landscape"/>
  <headerFooter>
    <oddHeader>&amp;C&amp;BKalender</oddHeader>
    <oddFooter>&amp;RSeite &amp;P von &amp;N</oddFooter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9DFFD90C-1E7C-4DC7-988F-A900FE8DF250}">
            <xm:f>AND(MONTH(DATE($G$1,1,ROW()-3))=1,COUNTIF(Feiertage!$A$2:$A$13,DATE($G$1,1,ROW()-3))&gt;0)</xm:f>
            <x14:dxf>
              <fill>
                <patternFill patternType="solid">
                  <fgColor rgb="FFDCE8C4"/>
                </patternFill>
              </fill>
            </x14:dxf>
          </x14:cfRule>
          <xm:sqref>A4</xm:sqref>
        </x14:conditionalFormatting>
        <x14:conditionalFormatting xmlns:xm="http://schemas.microsoft.com/office/excel/2006/main">
          <x14:cfRule type="expression" priority="5" stopIfTrue="1" id="{CF58985E-C403-4213-854F-A1D3DC931A29}">
            <xm:f>AND(MONTH(DATE($G$1,1,ROW()-3))=1,COUNTIF(Feiertage!$A$2:$A$13,DATE($G$1,1,ROW()-3))&gt;0)</xm:f>
            <x14:dxf>
              <fill>
                <patternFill patternType="solid">
                  <fgColor rgb="FFDCE8C4"/>
                </patternFill>
              </fill>
            </x14:dxf>
          </x14:cfRule>
          <xm:sqref>A5</xm:sqref>
        </x14:conditionalFormatting>
        <x14:conditionalFormatting xmlns:xm="http://schemas.microsoft.com/office/excel/2006/main">
          <x14:cfRule type="expression" priority="8" stopIfTrue="1" id="{60B0EF7D-064B-42B7-99B6-84DEA6891A29}">
            <xm:f>AND(MONTH(DATE($G$1,1,ROW()-3))=1,COUNTIF(Feiertage!$A$2:$A$13,DATE($G$1,1,ROW()-3))&gt;0)</xm:f>
            <x14:dxf>
              <fill>
                <patternFill patternType="solid">
                  <fgColor rgb="FFDCE8C4"/>
                </patternFill>
              </fill>
            </x14:dxf>
          </x14:cfRule>
          <xm:sqref>A6</xm:sqref>
        </x14:conditionalFormatting>
        <x14:conditionalFormatting xmlns:xm="http://schemas.microsoft.com/office/excel/2006/main">
          <x14:cfRule type="expression" priority="11" stopIfTrue="1" id="{B049336C-C50E-4D9C-8596-F5F6CC1E3E09}">
            <xm:f>AND(MONTH(DATE($G$1,1,ROW()-3))=1,COUNTIF(Feiertage!$A$2:$A$13,DATE($G$1,1,ROW()-3))&gt;0)</xm:f>
            <x14:dxf>
              <fill>
                <patternFill patternType="solid">
                  <fgColor rgb="FFDCE8C4"/>
                </patternFill>
              </fill>
            </x14:dxf>
          </x14:cfRule>
          <xm:sqref>A7</xm:sqref>
        </x14:conditionalFormatting>
        <x14:conditionalFormatting xmlns:xm="http://schemas.microsoft.com/office/excel/2006/main">
          <x14:cfRule type="expression" priority="14" stopIfTrue="1" id="{07FDE379-A6DD-40E9-95F0-3E715CC25593}">
            <xm:f>AND(MONTH(DATE($G$1,1,ROW()-3))=1,COUNTIF(Feiertage!$A$2:$A$13,DATE($G$1,1,ROW()-3))&gt;0)</xm:f>
            <x14:dxf>
              <fill>
                <patternFill patternType="solid">
                  <fgColor rgb="FFDCE8C4"/>
                </patternFill>
              </fill>
            </x14:dxf>
          </x14:cfRule>
          <xm:sqref>A8</xm:sqref>
        </x14:conditionalFormatting>
        <x14:conditionalFormatting xmlns:xm="http://schemas.microsoft.com/office/excel/2006/main">
          <x14:cfRule type="expression" priority="17" stopIfTrue="1" id="{8755E55D-2C8F-4A55-8411-F8074F962049}">
            <xm:f>AND(MONTH(DATE($G$1,1,ROW()-3))=1,COUNTIF(Feiertage!$A$2:$A$13,DATE($G$1,1,ROW()-3))&gt;0)</xm:f>
            <x14:dxf>
              <fill>
                <patternFill patternType="solid">
                  <fgColor rgb="FFDCE8C4"/>
                </patternFill>
              </fill>
            </x14:dxf>
          </x14:cfRule>
          <xm:sqref>A9</xm:sqref>
        </x14:conditionalFormatting>
        <x14:conditionalFormatting xmlns:xm="http://schemas.microsoft.com/office/excel/2006/main">
          <x14:cfRule type="expression" priority="20" stopIfTrue="1" id="{2DA92681-478E-452A-8A26-BFBC9D62F273}">
            <xm:f>AND(MONTH(DATE($G$1,1,ROW()-3))=1,COUNTIF(Feiertage!$A$2:$A$13,DATE($G$1,1,ROW()-3))&gt;0)</xm:f>
            <x14:dxf>
              <fill>
                <patternFill patternType="solid">
                  <fgColor rgb="FFDCE8C4"/>
                </patternFill>
              </fill>
            </x14:dxf>
          </x14:cfRule>
          <xm:sqref>A10</xm:sqref>
        </x14:conditionalFormatting>
        <x14:conditionalFormatting xmlns:xm="http://schemas.microsoft.com/office/excel/2006/main">
          <x14:cfRule type="expression" priority="23" stopIfTrue="1" id="{A7BBC82B-8CFF-4300-898F-994E7635C27A}">
            <xm:f>AND(MONTH(DATE($G$1,1,ROW()-3))=1,COUNTIF(Feiertage!$A$2:$A$13,DATE($G$1,1,ROW()-3))&gt;0)</xm:f>
            <x14:dxf>
              <fill>
                <patternFill patternType="solid">
                  <fgColor rgb="FFDCE8C4"/>
                </patternFill>
              </fill>
            </x14:dxf>
          </x14:cfRule>
          <xm:sqref>A11</xm:sqref>
        </x14:conditionalFormatting>
        <x14:conditionalFormatting xmlns:xm="http://schemas.microsoft.com/office/excel/2006/main">
          <x14:cfRule type="expression" priority="26" stopIfTrue="1" id="{8A78B94A-AFDA-47D2-A49A-B5E92F42E5E3}">
            <xm:f>AND(MONTH(DATE($G$1,1,ROW()-3))=1,COUNTIF(Feiertage!$A$2:$A$13,DATE($G$1,1,ROW()-3))&gt;0)</xm:f>
            <x14:dxf>
              <fill>
                <patternFill patternType="solid">
                  <fgColor rgb="FFDCE8C4"/>
                </patternFill>
              </fill>
            </x14:dxf>
          </x14:cfRule>
          <xm:sqref>A12</xm:sqref>
        </x14:conditionalFormatting>
        <x14:conditionalFormatting xmlns:xm="http://schemas.microsoft.com/office/excel/2006/main">
          <x14:cfRule type="expression" priority="29" stopIfTrue="1" id="{085BA95D-BE91-4762-8FA3-E1C08150745C}">
            <xm:f>AND(MONTH(DATE($G$1,1,ROW()-3))=1,COUNTIF(Feiertage!$A$2:$A$13,DATE($G$1,1,ROW()-3))&gt;0)</xm:f>
            <x14:dxf>
              <fill>
                <patternFill patternType="solid">
                  <fgColor rgb="FFDCE8C4"/>
                </patternFill>
              </fill>
            </x14:dxf>
          </x14:cfRule>
          <xm:sqref>A13</xm:sqref>
        </x14:conditionalFormatting>
        <x14:conditionalFormatting xmlns:xm="http://schemas.microsoft.com/office/excel/2006/main">
          <x14:cfRule type="expression" priority="32" stopIfTrue="1" id="{3657DD3D-E0C2-4E47-8C47-C9D139BF4F68}">
            <xm:f>AND(MONTH(DATE($G$1,1,ROW()-3))=1,COUNTIF(Feiertage!$A$2:$A$13,DATE($G$1,1,ROW()-3))&gt;0)</xm:f>
            <x14:dxf>
              <fill>
                <patternFill patternType="solid">
                  <fgColor rgb="FFDCE8C4"/>
                </patternFill>
              </fill>
            </x14:dxf>
          </x14:cfRule>
          <xm:sqref>A14</xm:sqref>
        </x14:conditionalFormatting>
        <x14:conditionalFormatting xmlns:xm="http://schemas.microsoft.com/office/excel/2006/main">
          <x14:cfRule type="expression" priority="35" stopIfTrue="1" id="{2E124B6F-D079-4471-8269-CF79C49C4F6B}">
            <xm:f>AND(MONTH(DATE($G$1,1,ROW()-3))=1,COUNTIF(Feiertage!$A$2:$A$13,DATE($G$1,1,ROW()-3))&gt;0)</xm:f>
            <x14:dxf>
              <fill>
                <patternFill patternType="solid">
                  <fgColor rgb="FFDCE8C4"/>
                </patternFill>
              </fill>
            </x14:dxf>
          </x14:cfRule>
          <xm:sqref>A15</xm:sqref>
        </x14:conditionalFormatting>
        <x14:conditionalFormatting xmlns:xm="http://schemas.microsoft.com/office/excel/2006/main">
          <x14:cfRule type="expression" priority="38" stopIfTrue="1" id="{5196C318-514D-460D-B442-DDC4A2899DD0}">
            <xm:f>AND(MONTH(DATE($G$1,1,ROW()-3))=1,COUNTIF(Feiertage!$A$2:$A$13,DATE($G$1,1,ROW()-3))&gt;0)</xm:f>
            <x14:dxf>
              <fill>
                <patternFill patternType="solid">
                  <fgColor rgb="FFDCE8C4"/>
                </patternFill>
              </fill>
            </x14:dxf>
          </x14:cfRule>
          <xm:sqref>A16</xm:sqref>
        </x14:conditionalFormatting>
        <x14:conditionalFormatting xmlns:xm="http://schemas.microsoft.com/office/excel/2006/main">
          <x14:cfRule type="expression" priority="41" stopIfTrue="1" id="{99922D4B-F8F2-4E07-8EEE-20D0A5915169}">
            <xm:f>AND(MONTH(DATE($G$1,1,ROW()-3))=1,COUNTIF(Feiertage!$A$2:$A$13,DATE($G$1,1,ROW()-3))&gt;0)</xm:f>
            <x14:dxf>
              <fill>
                <patternFill patternType="solid">
                  <fgColor rgb="FFDCE8C4"/>
                </patternFill>
              </fill>
            </x14:dxf>
          </x14:cfRule>
          <xm:sqref>A17</xm:sqref>
        </x14:conditionalFormatting>
        <x14:conditionalFormatting xmlns:xm="http://schemas.microsoft.com/office/excel/2006/main">
          <x14:cfRule type="expression" priority="44" stopIfTrue="1" id="{AF1305A1-D46B-4DDE-A638-B0FBE4EC1091}">
            <xm:f>AND(MONTH(DATE($G$1,1,ROW()-3))=1,COUNTIF(Feiertage!$A$2:$A$13,DATE($G$1,1,ROW()-3))&gt;0)</xm:f>
            <x14:dxf>
              <fill>
                <patternFill patternType="solid">
                  <fgColor rgb="FFDCE8C4"/>
                </patternFill>
              </fill>
            </x14:dxf>
          </x14:cfRule>
          <xm:sqref>A18</xm:sqref>
        </x14:conditionalFormatting>
        <x14:conditionalFormatting xmlns:xm="http://schemas.microsoft.com/office/excel/2006/main">
          <x14:cfRule type="expression" priority="47" stopIfTrue="1" id="{B851220C-4E38-453C-8531-E7FA082CF644}">
            <xm:f>AND(MONTH(DATE($G$1,1,ROW()-3))=1,COUNTIF(Feiertage!$A$2:$A$13,DATE($G$1,1,ROW()-3))&gt;0)</xm:f>
            <x14:dxf>
              <fill>
                <patternFill patternType="solid">
                  <fgColor rgb="FFDCE8C4"/>
                </patternFill>
              </fill>
            </x14:dxf>
          </x14:cfRule>
          <xm:sqref>A19</xm:sqref>
        </x14:conditionalFormatting>
        <x14:conditionalFormatting xmlns:xm="http://schemas.microsoft.com/office/excel/2006/main">
          <x14:cfRule type="expression" priority="50" stopIfTrue="1" id="{3E35F066-1A8F-491C-A752-9617B62CA610}">
            <xm:f>AND(MONTH(DATE($G$1,1,ROW()-3))=1,COUNTIF(Feiertage!$A$2:$A$13,DATE($G$1,1,ROW()-3))&gt;0)</xm:f>
            <x14:dxf>
              <fill>
                <patternFill patternType="solid">
                  <fgColor rgb="FFDCE8C4"/>
                </patternFill>
              </fill>
            </x14:dxf>
          </x14:cfRule>
          <xm:sqref>A20</xm:sqref>
        </x14:conditionalFormatting>
        <x14:conditionalFormatting xmlns:xm="http://schemas.microsoft.com/office/excel/2006/main">
          <x14:cfRule type="expression" priority="53" stopIfTrue="1" id="{DB810535-417A-4697-AE10-70A61A09DAD7}">
            <xm:f>AND(MONTH(DATE($G$1,1,ROW()-3))=1,COUNTIF(Feiertage!$A$2:$A$13,DATE($G$1,1,ROW()-3))&gt;0)</xm:f>
            <x14:dxf>
              <fill>
                <patternFill patternType="solid">
                  <fgColor rgb="FFDCE8C4"/>
                </patternFill>
              </fill>
            </x14:dxf>
          </x14:cfRule>
          <xm:sqref>A21</xm:sqref>
        </x14:conditionalFormatting>
        <x14:conditionalFormatting xmlns:xm="http://schemas.microsoft.com/office/excel/2006/main">
          <x14:cfRule type="expression" priority="56" stopIfTrue="1" id="{A545C67C-C50D-4B69-8352-6A2036BE1364}">
            <xm:f>AND(MONTH(DATE($G$1,1,ROW()-3))=1,COUNTIF(Feiertage!$A$2:$A$13,DATE($G$1,1,ROW()-3))&gt;0)</xm:f>
            <x14:dxf>
              <fill>
                <patternFill patternType="solid">
                  <fgColor rgb="FFDCE8C4"/>
                </patternFill>
              </fill>
            </x14:dxf>
          </x14:cfRule>
          <xm:sqref>A22</xm:sqref>
        </x14:conditionalFormatting>
        <x14:conditionalFormatting xmlns:xm="http://schemas.microsoft.com/office/excel/2006/main">
          <x14:cfRule type="expression" priority="59" stopIfTrue="1" id="{D0FCCB81-BCF6-49EE-9AE2-D9FACAED489F}">
            <xm:f>AND(MONTH(DATE($G$1,1,ROW()-3))=1,COUNTIF(Feiertage!$A$2:$A$13,DATE($G$1,1,ROW()-3))&gt;0)</xm:f>
            <x14:dxf>
              <fill>
                <patternFill patternType="solid">
                  <fgColor rgb="FFDCE8C4"/>
                </patternFill>
              </fill>
            </x14:dxf>
          </x14:cfRule>
          <xm:sqref>A23</xm:sqref>
        </x14:conditionalFormatting>
        <x14:conditionalFormatting xmlns:xm="http://schemas.microsoft.com/office/excel/2006/main">
          <x14:cfRule type="expression" priority="62" stopIfTrue="1" id="{21A6EFB5-3BE7-48C4-B5B4-21D219E0B09F}">
            <xm:f>AND(MONTH(DATE($G$1,1,ROW()-3))=1,COUNTIF(Feiertage!$A$2:$A$13,DATE($G$1,1,ROW()-3))&gt;0)</xm:f>
            <x14:dxf>
              <fill>
                <patternFill patternType="solid">
                  <fgColor rgb="FFDCE8C4"/>
                </patternFill>
              </fill>
            </x14:dxf>
          </x14:cfRule>
          <xm:sqref>A24</xm:sqref>
        </x14:conditionalFormatting>
        <x14:conditionalFormatting xmlns:xm="http://schemas.microsoft.com/office/excel/2006/main">
          <x14:cfRule type="expression" priority="65" stopIfTrue="1" id="{44426B4F-D2A1-4BDE-9A55-44D46A78072A}">
            <xm:f>AND(MONTH(DATE($G$1,1,ROW()-3))=1,COUNTIF(Feiertage!$A$2:$A$13,DATE($G$1,1,ROW()-3))&gt;0)</xm:f>
            <x14:dxf>
              <fill>
                <patternFill patternType="solid">
                  <fgColor rgb="FFDCE8C4"/>
                </patternFill>
              </fill>
            </x14:dxf>
          </x14:cfRule>
          <xm:sqref>A25</xm:sqref>
        </x14:conditionalFormatting>
        <x14:conditionalFormatting xmlns:xm="http://schemas.microsoft.com/office/excel/2006/main">
          <x14:cfRule type="expression" priority="68" stopIfTrue="1" id="{8784BFD9-10A2-4284-984E-3AA43234DF72}">
            <xm:f>AND(MONTH(DATE($G$1,1,ROW()-3))=1,COUNTIF(Feiertage!$A$2:$A$13,DATE($G$1,1,ROW()-3))&gt;0)</xm:f>
            <x14:dxf>
              <fill>
                <patternFill patternType="solid">
                  <fgColor rgb="FFDCE8C4"/>
                </patternFill>
              </fill>
            </x14:dxf>
          </x14:cfRule>
          <xm:sqref>A26</xm:sqref>
        </x14:conditionalFormatting>
        <x14:conditionalFormatting xmlns:xm="http://schemas.microsoft.com/office/excel/2006/main">
          <x14:cfRule type="expression" priority="71" stopIfTrue="1" id="{048A7371-5B79-4597-A402-67499EDAA0C6}">
            <xm:f>AND(MONTH(DATE($G$1,1,ROW()-3))=1,COUNTIF(Feiertage!$A$2:$A$13,DATE($G$1,1,ROW()-3))&gt;0)</xm:f>
            <x14:dxf>
              <fill>
                <patternFill patternType="solid">
                  <fgColor rgb="FFDCE8C4"/>
                </patternFill>
              </fill>
            </x14:dxf>
          </x14:cfRule>
          <xm:sqref>A27</xm:sqref>
        </x14:conditionalFormatting>
        <x14:conditionalFormatting xmlns:xm="http://schemas.microsoft.com/office/excel/2006/main">
          <x14:cfRule type="expression" priority="74" stopIfTrue="1" id="{1630F098-F2F0-45CA-9081-0B647CB14421}">
            <xm:f>AND(MONTH(DATE($G$1,1,ROW()-3))=1,COUNTIF(Feiertage!$A$2:$A$13,DATE($G$1,1,ROW()-3))&gt;0)</xm:f>
            <x14:dxf>
              <fill>
                <patternFill patternType="solid">
                  <fgColor rgb="FFDCE8C4"/>
                </patternFill>
              </fill>
            </x14:dxf>
          </x14:cfRule>
          <xm:sqref>A28</xm:sqref>
        </x14:conditionalFormatting>
        <x14:conditionalFormatting xmlns:xm="http://schemas.microsoft.com/office/excel/2006/main">
          <x14:cfRule type="expression" priority="77" stopIfTrue="1" id="{C0A01C76-AACA-4F95-8E24-F32EB5AC3370}">
            <xm:f>AND(MONTH(DATE($G$1,1,ROW()-3))=1,COUNTIF(Feiertage!$A$2:$A$13,DATE($G$1,1,ROW()-3))&gt;0)</xm:f>
            <x14:dxf>
              <fill>
                <patternFill patternType="solid">
                  <fgColor rgb="FFDCE8C4"/>
                </patternFill>
              </fill>
            </x14:dxf>
          </x14:cfRule>
          <xm:sqref>A29</xm:sqref>
        </x14:conditionalFormatting>
        <x14:conditionalFormatting xmlns:xm="http://schemas.microsoft.com/office/excel/2006/main">
          <x14:cfRule type="expression" priority="80" stopIfTrue="1" id="{B44387F7-36D4-42EC-9B48-D67D183DB55E}">
            <xm:f>AND(MONTH(DATE($G$1,1,ROW()-3))=1,COUNTIF(Feiertage!$A$2:$A$13,DATE($G$1,1,ROW()-3))&gt;0)</xm:f>
            <x14:dxf>
              <fill>
                <patternFill patternType="solid">
                  <fgColor rgb="FFDCE8C4"/>
                </patternFill>
              </fill>
            </x14:dxf>
          </x14:cfRule>
          <xm:sqref>A30</xm:sqref>
        </x14:conditionalFormatting>
        <x14:conditionalFormatting xmlns:xm="http://schemas.microsoft.com/office/excel/2006/main">
          <x14:cfRule type="expression" priority="83" stopIfTrue="1" id="{DE45888B-D97B-405A-9BB0-DBFE7F7604D3}">
            <xm:f>AND(MONTH(DATE($G$1,1,ROW()-3))=1,COUNTIF(Feiertage!$A$2:$A$13,DATE($G$1,1,ROW()-3))&gt;0)</xm:f>
            <x14:dxf>
              <fill>
                <patternFill patternType="solid">
                  <fgColor rgb="FFDCE8C4"/>
                </patternFill>
              </fill>
            </x14:dxf>
          </x14:cfRule>
          <xm:sqref>A31</xm:sqref>
        </x14:conditionalFormatting>
        <x14:conditionalFormatting xmlns:xm="http://schemas.microsoft.com/office/excel/2006/main">
          <x14:cfRule type="expression" priority="86" stopIfTrue="1" id="{0F184F4A-79A0-4DB8-B8D2-336E2B290F44}">
            <xm:f>AND(MONTH(DATE($G$1,1,ROW()-3))=1,COUNTIF(Feiertage!$A$2:$A$13,DATE($G$1,1,ROW()-3))&gt;0)</xm:f>
            <x14:dxf>
              <fill>
                <patternFill patternType="solid">
                  <fgColor rgb="FFDCE8C4"/>
                </patternFill>
              </fill>
            </x14:dxf>
          </x14:cfRule>
          <xm:sqref>A32</xm:sqref>
        </x14:conditionalFormatting>
        <x14:conditionalFormatting xmlns:xm="http://schemas.microsoft.com/office/excel/2006/main">
          <x14:cfRule type="expression" priority="89" stopIfTrue="1" id="{78B24C0B-F711-47B2-AFA7-1E0D4A690892}">
            <xm:f>AND(MONTH(DATE($G$1,1,ROW()-3))=1,COUNTIF(Feiertage!$A$2:$A$13,DATE($G$1,1,ROW()-3))&gt;0)</xm:f>
            <x14:dxf>
              <fill>
                <patternFill patternType="solid">
                  <fgColor rgb="FFDCE8C4"/>
                </patternFill>
              </fill>
            </x14:dxf>
          </x14:cfRule>
          <xm:sqref>A33</xm:sqref>
        </x14:conditionalFormatting>
        <x14:conditionalFormatting xmlns:xm="http://schemas.microsoft.com/office/excel/2006/main">
          <x14:cfRule type="expression" priority="92" stopIfTrue="1" id="{C53D4B69-9416-4C0A-B103-489D15F11197}">
            <xm:f>AND(MONTH(DATE($G$1,1,ROW()-3))=1,COUNTIF(Feiertage!$A$2:$A$13,DATE($G$1,1,ROW()-3))&gt;0)</xm:f>
            <x14:dxf>
              <fill>
                <patternFill patternType="solid">
                  <fgColor rgb="FFDCE8C4"/>
                </patternFill>
              </fill>
            </x14:dxf>
          </x14:cfRule>
          <xm:sqref>A34</xm:sqref>
        </x14:conditionalFormatting>
        <x14:conditionalFormatting xmlns:xm="http://schemas.microsoft.com/office/excel/2006/main">
          <x14:cfRule type="expression" priority="95" stopIfTrue="1" id="{B7B7F5D9-F662-4DE8-99AE-57FE8EC81D3B}">
            <xm:f>AND(MONTH(DATE($G$1,2,ROW()-3))=2,COUNTIF(Feiertage!$A$2:$A$13,DATE($G$1,2,ROW()-3))&gt;0)</xm:f>
            <x14:dxf>
              <fill>
                <patternFill patternType="solid">
                  <fgColor rgb="FFDCE8C4"/>
                </patternFill>
              </fill>
            </x14:dxf>
          </x14:cfRule>
          <xm:sqref>B4</xm:sqref>
        </x14:conditionalFormatting>
        <x14:conditionalFormatting xmlns:xm="http://schemas.microsoft.com/office/excel/2006/main">
          <x14:cfRule type="expression" priority="98" stopIfTrue="1" id="{CFC84F5E-CF2A-4C18-A86B-0FC453C3D12B}">
            <xm:f>AND(MONTH(DATE($G$1,2,ROW()-3))=2,COUNTIF(Feiertage!$A$2:$A$13,DATE($G$1,2,ROW()-3))&gt;0)</xm:f>
            <x14:dxf>
              <fill>
                <patternFill patternType="solid">
                  <fgColor rgb="FFDCE8C4"/>
                </patternFill>
              </fill>
            </x14:dxf>
          </x14:cfRule>
          <xm:sqref>B5</xm:sqref>
        </x14:conditionalFormatting>
        <x14:conditionalFormatting xmlns:xm="http://schemas.microsoft.com/office/excel/2006/main">
          <x14:cfRule type="expression" priority="101" stopIfTrue="1" id="{1F4B119F-5C3A-4CEC-B9D3-699E78B369F8}">
            <xm:f>AND(MONTH(DATE($G$1,2,ROW()-3))=2,COUNTIF(Feiertage!$A$2:$A$13,DATE($G$1,2,ROW()-3))&gt;0)</xm:f>
            <x14:dxf>
              <fill>
                <patternFill patternType="solid">
                  <fgColor rgb="FFDCE8C4"/>
                </patternFill>
              </fill>
            </x14:dxf>
          </x14:cfRule>
          <xm:sqref>B6</xm:sqref>
        </x14:conditionalFormatting>
        <x14:conditionalFormatting xmlns:xm="http://schemas.microsoft.com/office/excel/2006/main">
          <x14:cfRule type="expression" priority="104" stopIfTrue="1" id="{1B5D19C0-8394-497E-8045-0F935511D0E6}">
            <xm:f>AND(MONTH(DATE($G$1,2,ROW()-3))=2,COUNTIF(Feiertage!$A$2:$A$13,DATE($G$1,2,ROW()-3))&gt;0)</xm:f>
            <x14:dxf>
              <fill>
                <patternFill patternType="solid">
                  <fgColor rgb="FFDCE8C4"/>
                </patternFill>
              </fill>
            </x14:dxf>
          </x14:cfRule>
          <xm:sqref>B7</xm:sqref>
        </x14:conditionalFormatting>
        <x14:conditionalFormatting xmlns:xm="http://schemas.microsoft.com/office/excel/2006/main">
          <x14:cfRule type="expression" priority="107" stopIfTrue="1" id="{C01A0E70-585D-4636-8B13-7262B4D5370C}">
            <xm:f>AND(MONTH(DATE($G$1,2,ROW()-3))=2,COUNTIF(Feiertage!$A$2:$A$13,DATE($G$1,2,ROW()-3))&gt;0)</xm:f>
            <x14:dxf>
              <fill>
                <patternFill patternType="solid">
                  <fgColor rgb="FFDCE8C4"/>
                </patternFill>
              </fill>
            </x14:dxf>
          </x14:cfRule>
          <xm:sqref>B8</xm:sqref>
        </x14:conditionalFormatting>
        <x14:conditionalFormatting xmlns:xm="http://schemas.microsoft.com/office/excel/2006/main">
          <x14:cfRule type="expression" priority="110" stopIfTrue="1" id="{75A48875-8B99-42A8-A9DB-3FF9433F1CE6}">
            <xm:f>AND(MONTH(DATE($G$1,2,ROW()-3))=2,COUNTIF(Feiertage!$A$2:$A$13,DATE($G$1,2,ROW()-3))&gt;0)</xm:f>
            <x14:dxf>
              <fill>
                <patternFill patternType="solid">
                  <fgColor rgb="FFDCE8C4"/>
                </patternFill>
              </fill>
            </x14:dxf>
          </x14:cfRule>
          <xm:sqref>B9</xm:sqref>
        </x14:conditionalFormatting>
        <x14:conditionalFormatting xmlns:xm="http://schemas.microsoft.com/office/excel/2006/main">
          <x14:cfRule type="expression" priority="113" stopIfTrue="1" id="{28198229-45A8-4911-B32B-C6775FA3C702}">
            <xm:f>AND(MONTH(DATE($G$1,2,ROW()-3))=2,COUNTIF(Feiertage!$A$2:$A$13,DATE($G$1,2,ROW()-3))&gt;0)</xm:f>
            <x14:dxf>
              <fill>
                <patternFill patternType="solid">
                  <fgColor rgb="FFDCE8C4"/>
                </patternFill>
              </fill>
            </x14:dxf>
          </x14:cfRule>
          <xm:sqref>B10</xm:sqref>
        </x14:conditionalFormatting>
        <x14:conditionalFormatting xmlns:xm="http://schemas.microsoft.com/office/excel/2006/main">
          <x14:cfRule type="expression" priority="116" stopIfTrue="1" id="{FB42A921-7F25-427B-B313-B3A1FBD712C0}">
            <xm:f>AND(MONTH(DATE($G$1,2,ROW()-3))=2,COUNTIF(Feiertage!$A$2:$A$13,DATE($G$1,2,ROW()-3))&gt;0)</xm:f>
            <x14:dxf>
              <fill>
                <patternFill patternType="solid">
                  <fgColor rgb="FFDCE8C4"/>
                </patternFill>
              </fill>
            </x14:dxf>
          </x14:cfRule>
          <xm:sqref>B11</xm:sqref>
        </x14:conditionalFormatting>
        <x14:conditionalFormatting xmlns:xm="http://schemas.microsoft.com/office/excel/2006/main">
          <x14:cfRule type="expression" priority="119" stopIfTrue="1" id="{4D5CC150-12D8-4D5B-B4F9-55AF3FDF82B1}">
            <xm:f>AND(MONTH(DATE($G$1,2,ROW()-3))=2,COUNTIF(Feiertage!$A$2:$A$13,DATE($G$1,2,ROW()-3))&gt;0)</xm:f>
            <x14:dxf>
              <fill>
                <patternFill patternType="solid">
                  <fgColor rgb="FFDCE8C4"/>
                </patternFill>
              </fill>
            </x14:dxf>
          </x14:cfRule>
          <xm:sqref>B12</xm:sqref>
        </x14:conditionalFormatting>
        <x14:conditionalFormatting xmlns:xm="http://schemas.microsoft.com/office/excel/2006/main">
          <x14:cfRule type="expression" priority="122" stopIfTrue="1" id="{204C5233-E836-4D07-A8F7-2F6BBD377878}">
            <xm:f>AND(MONTH(DATE($G$1,2,ROW()-3))=2,COUNTIF(Feiertage!$A$2:$A$13,DATE($G$1,2,ROW()-3))&gt;0)</xm:f>
            <x14:dxf>
              <fill>
                <patternFill patternType="solid">
                  <fgColor rgb="FFDCE8C4"/>
                </patternFill>
              </fill>
            </x14:dxf>
          </x14:cfRule>
          <xm:sqref>B13</xm:sqref>
        </x14:conditionalFormatting>
        <x14:conditionalFormatting xmlns:xm="http://schemas.microsoft.com/office/excel/2006/main">
          <x14:cfRule type="expression" priority="125" stopIfTrue="1" id="{0C322328-4034-4D7E-9396-5394A08E5119}">
            <xm:f>AND(MONTH(DATE($G$1,2,ROW()-3))=2,COUNTIF(Feiertage!$A$2:$A$13,DATE($G$1,2,ROW()-3))&gt;0)</xm:f>
            <x14:dxf>
              <fill>
                <patternFill patternType="solid">
                  <fgColor rgb="FFDCE8C4"/>
                </patternFill>
              </fill>
            </x14:dxf>
          </x14:cfRule>
          <xm:sqref>B14</xm:sqref>
        </x14:conditionalFormatting>
        <x14:conditionalFormatting xmlns:xm="http://schemas.microsoft.com/office/excel/2006/main">
          <x14:cfRule type="expression" priority="128" stopIfTrue="1" id="{BA09A12E-75AA-44A6-A87B-20443F76887E}">
            <xm:f>AND(MONTH(DATE($G$1,2,ROW()-3))=2,COUNTIF(Feiertage!$A$2:$A$13,DATE($G$1,2,ROW()-3))&gt;0)</xm:f>
            <x14:dxf>
              <fill>
                <patternFill patternType="solid">
                  <fgColor rgb="FFDCE8C4"/>
                </patternFill>
              </fill>
            </x14:dxf>
          </x14:cfRule>
          <xm:sqref>B15</xm:sqref>
        </x14:conditionalFormatting>
        <x14:conditionalFormatting xmlns:xm="http://schemas.microsoft.com/office/excel/2006/main">
          <x14:cfRule type="expression" priority="131" stopIfTrue="1" id="{1E50ED57-439F-43EC-9F8F-5304D7A9BD73}">
            <xm:f>AND(MONTH(DATE($G$1,2,ROW()-3))=2,COUNTIF(Feiertage!$A$2:$A$13,DATE($G$1,2,ROW()-3))&gt;0)</xm:f>
            <x14:dxf>
              <fill>
                <patternFill patternType="solid">
                  <fgColor rgb="FFDCE8C4"/>
                </patternFill>
              </fill>
            </x14:dxf>
          </x14:cfRule>
          <xm:sqref>B16</xm:sqref>
        </x14:conditionalFormatting>
        <x14:conditionalFormatting xmlns:xm="http://schemas.microsoft.com/office/excel/2006/main">
          <x14:cfRule type="expression" priority="134" stopIfTrue="1" id="{070426F8-5B67-4445-BBB4-A87C1015428B}">
            <xm:f>AND(MONTH(DATE($G$1,2,ROW()-3))=2,COUNTIF(Feiertage!$A$2:$A$13,DATE($G$1,2,ROW()-3))&gt;0)</xm:f>
            <x14:dxf>
              <fill>
                <patternFill patternType="solid">
                  <fgColor rgb="FFDCE8C4"/>
                </patternFill>
              </fill>
            </x14:dxf>
          </x14:cfRule>
          <xm:sqref>B17</xm:sqref>
        </x14:conditionalFormatting>
        <x14:conditionalFormatting xmlns:xm="http://schemas.microsoft.com/office/excel/2006/main">
          <x14:cfRule type="expression" priority="137" stopIfTrue="1" id="{A6C55965-030C-4A9D-8445-6B6549601744}">
            <xm:f>AND(MONTH(DATE($G$1,2,ROW()-3))=2,COUNTIF(Feiertage!$A$2:$A$13,DATE($G$1,2,ROW()-3))&gt;0)</xm:f>
            <x14:dxf>
              <fill>
                <patternFill patternType="solid">
                  <fgColor rgb="FFDCE8C4"/>
                </patternFill>
              </fill>
            </x14:dxf>
          </x14:cfRule>
          <xm:sqref>B18</xm:sqref>
        </x14:conditionalFormatting>
        <x14:conditionalFormatting xmlns:xm="http://schemas.microsoft.com/office/excel/2006/main">
          <x14:cfRule type="expression" priority="140" stopIfTrue="1" id="{34787559-2C9F-426D-94B4-8E97A3A86C66}">
            <xm:f>AND(MONTH(DATE($G$1,2,ROW()-3))=2,COUNTIF(Feiertage!$A$2:$A$13,DATE($G$1,2,ROW()-3))&gt;0)</xm:f>
            <x14:dxf>
              <fill>
                <patternFill patternType="solid">
                  <fgColor rgb="FFDCE8C4"/>
                </patternFill>
              </fill>
            </x14:dxf>
          </x14:cfRule>
          <xm:sqref>B19</xm:sqref>
        </x14:conditionalFormatting>
        <x14:conditionalFormatting xmlns:xm="http://schemas.microsoft.com/office/excel/2006/main">
          <x14:cfRule type="expression" priority="143" stopIfTrue="1" id="{E5545A5A-92F7-4B42-BA62-27B63974F5E6}">
            <xm:f>AND(MONTH(DATE($G$1,2,ROW()-3))=2,COUNTIF(Feiertage!$A$2:$A$13,DATE($G$1,2,ROW()-3))&gt;0)</xm:f>
            <x14:dxf>
              <fill>
                <patternFill patternType="solid">
                  <fgColor rgb="FFDCE8C4"/>
                </patternFill>
              </fill>
            </x14:dxf>
          </x14:cfRule>
          <xm:sqref>B20</xm:sqref>
        </x14:conditionalFormatting>
        <x14:conditionalFormatting xmlns:xm="http://schemas.microsoft.com/office/excel/2006/main">
          <x14:cfRule type="expression" priority="146" stopIfTrue="1" id="{14AEA9F6-8DEC-4E42-A12E-9F9FB88ABBB4}">
            <xm:f>AND(MONTH(DATE($G$1,2,ROW()-3))=2,COUNTIF(Feiertage!$A$2:$A$13,DATE($G$1,2,ROW()-3))&gt;0)</xm:f>
            <x14:dxf>
              <fill>
                <patternFill patternType="solid">
                  <fgColor rgb="FFDCE8C4"/>
                </patternFill>
              </fill>
            </x14:dxf>
          </x14:cfRule>
          <xm:sqref>B21</xm:sqref>
        </x14:conditionalFormatting>
        <x14:conditionalFormatting xmlns:xm="http://schemas.microsoft.com/office/excel/2006/main">
          <x14:cfRule type="expression" priority="149" stopIfTrue="1" id="{99D334AB-C0C2-422F-9D2C-6B01A5C9E224}">
            <xm:f>AND(MONTH(DATE($G$1,2,ROW()-3))=2,COUNTIF(Feiertage!$A$2:$A$13,DATE($G$1,2,ROW()-3))&gt;0)</xm:f>
            <x14:dxf>
              <fill>
                <patternFill patternType="solid">
                  <fgColor rgb="FFDCE8C4"/>
                </patternFill>
              </fill>
            </x14:dxf>
          </x14:cfRule>
          <xm:sqref>B22</xm:sqref>
        </x14:conditionalFormatting>
        <x14:conditionalFormatting xmlns:xm="http://schemas.microsoft.com/office/excel/2006/main">
          <x14:cfRule type="expression" priority="152" stopIfTrue="1" id="{C0E18DF0-5C12-4F5C-8E90-2C9BAFC41BB4}">
            <xm:f>AND(MONTH(DATE($G$1,2,ROW()-3))=2,COUNTIF(Feiertage!$A$2:$A$13,DATE($G$1,2,ROW()-3))&gt;0)</xm:f>
            <x14:dxf>
              <fill>
                <patternFill patternType="solid">
                  <fgColor rgb="FFDCE8C4"/>
                </patternFill>
              </fill>
            </x14:dxf>
          </x14:cfRule>
          <xm:sqref>B23</xm:sqref>
        </x14:conditionalFormatting>
        <x14:conditionalFormatting xmlns:xm="http://schemas.microsoft.com/office/excel/2006/main">
          <x14:cfRule type="expression" priority="155" stopIfTrue="1" id="{0AB7D34F-FC5B-471A-AD31-4AA6E0DE9AAC}">
            <xm:f>AND(MONTH(DATE($G$1,2,ROW()-3))=2,COUNTIF(Feiertage!$A$2:$A$13,DATE($G$1,2,ROW()-3))&gt;0)</xm:f>
            <x14:dxf>
              <fill>
                <patternFill patternType="solid">
                  <fgColor rgb="FFDCE8C4"/>
                </patternFill>
              </fill>
            </x14:dxf>
          </x14:cfRule>
          <xm:sqref>B24</xm:sqref>
        </x14:conditionalFormatting>
        <x14:conditionalFormatting xmlns:xm="http://schemas.microsoft.com/office/excel/2006/main">
          <x14:cfRule type="expression" priority="158" stopIfTrue="1" id="{F5131716-DF1E-49B0-BFCB-527546875169}">
            <xm:f>AND(MONTH(DATE($G$1,2,ROW()-3))=2,COUNTIF(Feiertage!$A$2:$A$13,DATE($G$1,2,ROW()-3))&gt;0)</xm:f>
            <x14:dxf>
              <fill>
                <patternFill patternType="solid">
                  <fgColor rgb="FFDCE8C4"/>
                </patternFill>
              </fill>
            </x14:dxf>
          </x14:cfRule>
          <xm:sqref>B25</xm:sqref>
        </x14:conditionalFormatting>
        <x14:conditionalFormatting xmlns:xm="http://schemas.microsoft.com/office/excel/2006/main">
          <x14:cfRule type="expression" priority="161" stopIfTrue="1" id="{30B45FAB-994F-49EB-AA0E-E4224C5F81AB}">
            <xm:f>AND(MONTH(DATE($G$1,2,ROW()-3))=2,COUNTIF(Feiertage!$A$2:$A$13,DATE($G$1,2,ROW()-3))&gt;0)</xm:f>
            <x14:dxf>
              <fill>
                <patternFill patternType="solid">
                  <fgColor rgb="FFDCE8C4"/>
                </patternFill>
              </fill>
            </x14:dxf>
          </x14:cfRule>
          <xm:sqref>B26</xm:sqref>
        </x14:conditionalFormatting>
        <x14:conditionalFormatting xmlns:xm="http://schemas.microsoft.com/office/excel/2006/main">
          <x14:cfRule type="expression" priority="164" stopIfTrue="1" id="{43E9D091-A39A-4090-B10B-0440CE436262}">
            <xm:f>AND(MONTH(DATE($G$1,2,ROW()-3))=2,COUNTIF(Feiertage!$A$2:$A$13,DATE($G$1,2,ROW()-3))&gt;0)</xm:f>
            <x14:dxf>
              <fill>
                <patternFill patternType="solid">
                  <fgColor rgb="FFDCE8C4"/>
                </patternFill>
              </fill>
            </x14:dxf>
          </x14:cfRule>
          <xm:sqref>B27</xm:sqref>
        </x14:conditionalFormatting>
        <x14:conditionalFormatting xmlns:xm="http://schemas.microsoft.com/office/excel/2006/main">
          <x14:cfRule type="expression" priority="167" stopIfTrue="1" id="{62D4C582-9A6C-4F75-BCB1-4B32209918B8}">
            <xm:f>AND(MONTH(DATE($G$1,2,ROW()-3))=2,COUNTIF(Feiertage!$A$2:$A$13,DATE($G$1,2,ROW()-3))&gt;0)</xm:f>
            <x14:dxf>
              <fill>
                <patternFill patternType="solid">
                  <fgColor rgb="FFDCE8C4"/>
                </patternFill>
              </fill>
            </x14:dxf>
          </x14:cfRule>
          <xm:sqref>B28</xm:sqref>
        </x14:conditionalFormatting>
        <x14:conditionalFormatting xmlns:xm="http://schemas.microsoft.com/office/excel/2006/main">
          <x14:cfRule type="expression" priority="170" stopIfTrue="1" id="{4FB94E2D-B738-4F47-81A3-816BDA4C4A62}">
            <xm:f>AND(MONTH(DATE($G$1,2,ROW()-3))=2,COUNTIF(Feiertage!$A$2:$A$13,DATE($G$1,2,ROW()-3))&gt;0)</xm:f>
            <x14:dxf>
              <fill>
                <patternFill patternType="solid">
                  <fgColor rgb="FFDCE8C4"/>
                </patternFill>
              </fill>
            </x14:dxf>
          </x14:cfRule>
          <xm:sqref>B29</xm:sqref>
        </x14:conditionalFormatting>
        <x14:conditionalFormatting xmlns:xm="http://schemas.microsoft.com/office/excel/2006/main">
          <x14:cfRule type="expression" priority="173" stopIfTrue="1" id="{5C154D11-4F8B-44EF-86F8-86210259AA79}">
            <xm:f>AND(MONTH(DATE($G$1,2,ROW()-3))=2,COUNTIF(Feiertage!$A$2:$A$13,DATE($G$1,2,ROW()-3))&gt;0)</xm:f>
            <x14:dxf>
              <fill>
                <patternFill patternType="solid">
                  <fgColor rgb="FFDCE8C4"/>
                </patternFill>
              </fill>
            </x14:dxf>
          </x14:cfRule>
          <xm:sqref>B30</xm:sqref>
        </x14:conditionalFormatting>
        <x14:conditionalFormatting xmlns:xm="http://schemas.microsoft.com/office/excel/2006/main">
          <x14:cfRule type="expression" priority="176" stopIfTrue="1" id="{1FC63C52-9F51-418A-A8F6-8625E5826820}">
            <xm:f>AND(MONTH(DATE($G$1,2,ROW()-3))=2,COUNTIF(Feiertage!$A$2:$A$13,DATE($G$1,2,ROW()-3))&gt;0)</xm:f>
            <x14:dxf>
              <fill>
                <patternFill patternType="solid">
                  <fgColor rgb="FFDCE8C4"/>
                </patternFill>
              </fill>
            </x14:dxf>
          </x14:cfRule>
          <xm:sqref>B31</xm:sqref>
        </x14:conditionalFormatting>
        <x14:conditionalFormatting xmlns:xm="http://schemas.microsoft.com/office/excel/2006/main">
          <x14:cfRule type="expression" priority="179" stopIfTrue="1" id="{32D86B42-48E7-4A32-A71B-7D713520360E}">
            <xm:f>AND(MONTH(DATE($G$1,2,ROW()-3))=2,COUNTIF(Feiertage!$A$2:$A$13,DATE($G$1,2,ROW()-3))&gt;0)</xm:f>
            <x14:dxf>
              <fill>
                <patternFill patternType="solid">
                  <fgColor rgb="FFDCE8C4"/>
                </patternFill>
              </fill>
            </x14:dxf>
          </x14:cfRule>
          <xm:sqref>B32</xm:sqref>
        </x14:conditionalFormatting>
        <x14:conditionalFormatting xmlns:xm="http://schemas.microsoft.com/office/excel/2006/main">
          <x14:cfRule type="expression" priority="182" stopIfTrue="1" id="{773801B9-BB8F-4018-8077-53F23EE42D0C}">
            <xm:f>AND(MONTH(DATE($G$1,2,ROW()-3))=2,COUNTIF(Feiertage!$A$2:$A$13,DATE($G$1,2,ROW()-3))&gt;0)</xm:f>
            <x14:dxf>
              <fill>
                <patternFill patternType="solid">
                  <fgColor rgb="FFDCE8C4"/>
                </patternFill>
              </fill>
            </x14:dxf>
          </x14:cfRule>
          <xm:sqref>B33</xm:sqref>
        </x14:conditionalFormatting>
        <x14:conditionalFormatting xmlns:xm="http://schemas.microsoft.com/office/excel/2006/main">
          <x14:cfRule type="expression" priority="185" stopIfTrue="1" id="{3A72D59E-1B52-4B88-8FE6-FE67B2A4A0D2}">
            <xm:f>AND(MONTH(DATE($G$1,2,ROW()-3))=2,COUNTIF(Feiertage!$A$2:$A$13,DATE($G$1,2,ROW()-3))&gt;0)</xm:f>
            <x14:dxf>
              <fill>
                <patternFill patternType="solid">
                  <fgColor rgb="FFDCE8C4"/>
                </patternFill>
              </fill>
            </x14:dxf>
          </x14:cfRule>
          <xm:sqref>B34</xm:sqref>
        </x14:conditionalFormatting>
        <x14:conditionalFormatting xmlns:xm="http://schemas.microsoft.com/office/excel/2006/main">
          <x14:cfRule type="expression" priority="188" stopIfTrue="1" id="{8537B4E0-BF3C-4A0A-9F8A-497D0A162B5E}">
            <xm:f>AND(MONTH(DATE($G$1,3,ROW()-3))=3,COUNTIF(Feiertage!$A$2:$A$13,DATE($G$1,3,ROW()-3))&gt;0)</xm:f>
            <x14:dxf>
              <fill>
                <patternFill patternType="solid">
                  <fgColor rgb="FFDCE8C4"/>
                </patternFill>
              </fill>
            </x14:dxf>
          </x14:cfRule>
          <xm:sqref>C4</xm:sqref>
        </x14:conditionalFormatting>
        <x14:conditionalFormatting xmlns:xm="http://schemas.microsoft.com/office/excel/2006/main">
          <x14:cfRule type="expression" priority="191" stopIfTrue="1" id="{A73FBE15-4B02-414E-856B-48BE6C91B315}">
            <xm:f>AND(MONTH(DATE($G$1,3,ROW()-3))=3,COUNTIF(Feiertage!$A$2:$A$13,DATE($G$1,3,ROW()-3))&gt;0)</xm:f>
            <x14:dxf>
              <fill>
                <patternFill patternType="solid">
                  <fgColor rgb="FFDCE8C4"/>
                </patternFill>
              </fill>
            </x14:dxf>
          </x14:cfRule>
          <xm:sqref>C5</xm:sqref>
        </x14:conditionalFormatting>
        <x14:conditionalFormatting xmlns:xm="http://schemas.microsoft.com/office/excel/2006/main">
          <x14:cfRule type="expression" priority="194" stopIfTrue="1" id="{C8EA79EC-4392-4FAB-9D64-32154C6E7A9B}">
            <xm:f>AND(MONTH(DATE($G$1,3,ROW()-3))=3,COUNTIF(Feiertage!$A$2:$A$13,DATE($G$1,3,ROW()-3))&gt;0)</xm:f>
            <x14:dxf>
              <fill>
                <patternFill patternType="solid">
                  <fgColor rgb="FFDCE8C4"/>
                </patternFill>
              </fill>
            </x14:dxf>
          </x14:cfRule>
          <xm:sqref>C6</xm:sqref>
        </x14:conditionalFormatting>
        <x14:conditionalFormatting xmlns:xm="http://schemas.microsoft.com/office/excel/2006/main">
          <x14:cfRule type="expression" priority="197" stopIfTrue="1" id="{6DDB0551-55F4-407A-ACB6-0E713FF2EFFC}">
            <xm:f>AND(MONTH(DATE($G$1,3,ROW()-3))=3,COUNTIF(Feiertage!$A$2:$A$13,DATE($G$1,3,ROW()-3))&gt;0)</xm:f>
            <x14:dxf>
              <fill>
                <patternFill patternType="solid">
                  <fgColor rgb="FFDCE8C4"/>
                </patternFill>
              </fill>
            </x14:dxf>
          </x14:cfRule>
          <xm:sqref>C7</xm:sqref>
        </x14:conditionalFormatting>
        <x14:conditionalFormatting xmlns:xm="http://schemas.microsoft.com/office/excel/2006/main">
          <x14:cfRule type="expression" priority="200" stopIfTrue="1" id="{21B1066D-D50D-4F38-B2E0-80E94B2A7FD2}">
            <xm:f>AND(MONTH(DATE($G$1,3,ROW()-3))=3,COUNTIF(Feiertage!$A$2:$A$13,DATE($G$1,3,ROW()-3))&gt;0)</xm:f>
            <x14:dxf>
              <fill>
                <patternFill patternType="solid">
                  <fgColor rgb="FFDCE8C4"/>
                </patternFill>
              </fill>
            </x14:dxf>
          </x14:cfRule>
          <xm:sqref>C8</xm:sqref>
        </x14:conditionalFormatting>
        <x14:conditionalFormatting xmlns:xm="http://schemas.microsoft.com/office/excel/2006/main">
          <x14:cfRule type="expression" priority="203" stopIfTrue="1" id="{0A391046-67C3-457B-BC67-6C218C29DFCA}">
            <xm:f>AND(MONTH(DATE($G$1,3,ROW()-3))=3,COUNTIF(Feiertage!$A$2:$A$13,DATE($G$1,3,ROW()-3))&gt;0)</xm:f>
            <x14:dxf>
              <fill>
                <patternFill patternType="solid">
                  <fgColor rgb="FFDCE8C4"/>
                </patternFill>
              </fill>
            </x14:dxf>
          </x14:cfRule>
          <xm:sqref>C9</xm:sqref>
        </x14:conditionalFormatting>
        <x14:conditionalFormatting xmlns:xm="http://schemas.microsoft.com/office/excel/2006/main">
          <x14:cfRule type="expression" priority="206" stopIfTrue="1" id="{4E1A1FE7-0DCC-4503-8775-41B02EB3E419}">
            <xm:f>AND(MONTH(DATE($G$1,3,ROW()-3))=3,COUNTIF(Feiertage!$A$2:$A$13,DATE($G$1,3,ROW()-3))&gt;0)</xm:f>
            <x14:dxf>
              <fill>
                <patternFill patternType="solid">
                  <fgColor rgb="FFDCE8C4"/>
                </patternFill>
              </fill>
            </x14:dxf>
          </x14:cfRule>
          <xm:sqref>C10</xm:sqref>
        </x14:conditionalFormatting>
        <x14:conditionalFormatting xmlns:xm="http://schemas.microsoft.com/office/excel/2006/main">
          <x14:cfRule type="expression" priority="209" stopIfTrue="1" id="{FF9F0C4D-E2B8-4550-A5AE-338D6975ADE6}">
            <xm:f>AND(MONTH(DATE($G$1,3,ROW()-3))=3,COUNTIF(Feiertage!$A$2:$A$13,DATE($G$1,3,ROW()-3))&gt;0)</xm:f>
            <x14:dxf>
              <fill>
                <patternFill patternType="solid">
                  <fgColor rgb="FFDCE8C4"/>
                </patternFill>
              </fill>
            </x14:dxf>
          </x14:cfRule>
          <xm:sqref>C11</xm:sqref>
        </x14:conditionalFormatting>
        <x14:conditionalFormatting xmlns:xm="http://schemas.microsoft.com/office/excel/2006/main">
          <x14:cfRule type="expression" priority="212" stopIfTrue="1" id="{0ED9B389-22F7-4B9E-9C5E-948EC3726A53}">
            <xm:f>AND(MONTH(DATE($G$1,3,ROW()-3))=3,COUNTIF(Feiertage!$A$2:$A$13,DATE($G$1,3,ROW()-3))&gt;0)</xm:f>
            <x14:dxf>
              <fill>
                <patternFill patternType="solid">
                  <fgColor rgb="FFDCE8C4"/>
                </patternFill>
              </fill>
            </x14:dxf>
          </x14:cfRule>
          <xm:sqref>C12</xm:sqref>
        </x14:conditionalFormatting>
        <x14:conditionalFormatting xmlns:xm="http://schemas.microsoft.com/office/excel/2006/main">
          <x14:cfRule type="expression" priority="215" stopIfTrue="1" id="{BE0C6D66-5E90-4CA1-8D82-82CBB9D41A8D}">
            <xm:f>AND(MONTH(DATE($G$1,3,ROW()-3))=3,COUNTIF(Feiertage!$A$2:$A$13,DATE($G$1,3,ROW()-3))&gt;0)</xm:f>
            <x14:dxf>
              <fill>
                <patternFill patternType="solid">
                  <fgColor rgb="FFDCE8C4"/>
                </patternFill>
              </fill>
            </x14:dxf>
          </x14:cfRule>
          <xm:sqref>C13</xm:sqref>
        </x14:conditionalFormatting>
        <x14:conditionalFormatting xmlns:xm="http://schemas.microsoft.com/office/excel/2006/main">
          <x14:cfRule type="expression" priority="218" stopIfTrue="1" id="{25FEB0F7-4F48-43BC-ABD6-2E2F6BB93BDE}">
            <xm:f>AND(MONTH(DATE($G$1,3,ROW()-3))=3,COUNTIF(Feiertage!$A$2:$A$13,DATE($G$1,3,ROW()-3))&gt;0)</xm:f>
            <x14:dxf>
              <fill>
                <patternFill patternType="solid">
                  <fgColor rgb="FFDCE8C4"/>
                </patternFill>
              </fill>
            </x14:dxf>
          </x14:cfRule>
          <xm:sqref>C14</xm:sqref>
        </x14:conditionalFormatting>
        <x14:conditionalFormatting xmlns:xm="http://schemas.microsoft.com/office/excel/2006/main">
          <x14:cfRule type="expression" priority="221" stopIfTrue="1" id="{008FBED6-B0FD-4717-BB27-8DAF7124AC53}">
            <xm:f>AND(MONTH(DATE($G$1,3,ROW()-3))=3,COUNTIF(Feiertage!$A$2:$A$13,DATE($G$1,3,ROW()-3))&gt;0)</xm:f>
            <x14:dxf>
              <fill>
                <patternFill patternType="solid">
                  <fgColor rgb="FFDCE8C4"/>
                </patternFill>
              </fill>
            </x14:dxf>
          </x14:cfRule>
          <xm:sqref>C15</xm:sqref>
        </x14:conditionalFormatting>
        <x14:conditionalFormatting xmlns:xm="http://schemas.microsoft.com/office/excel/2006/main">
          <x14:cfRule type="expression" priority="224" stopIfTrue="1" id="{F7721BE4-FCE7-436F-9660-D33987157554}">
            <xm:f>AND(MONTH(DATE($G$1,3,ROW()-3))=3,COUNTIF(Feiertage!$A$2:$A$13,DATE($G$1,3,ROW()-3))&gt;0)</xm:f>
            <x14:dxf>
              <fill>
                <patternFill patternType="solid">
                  <fgColor rgb="FFDCE8C4"/>
                </patternFill>
              </fill>
            </x14:dxf>
          </x14:cfRule>
          <xm:sqref>C16</xm:sqref>
        </x14:conditionalFormatting>
        <x14:conditionalFormatting xmlns:xm="http://schemas.microsoft.com/office/excel/2006/main">
          <x14:cfRule type="expression" priority="227" stopIfTrue="1" id="{B6FB7FD1-B002-4B3C-BF71-E9F47E38D8F4}">
            <xm:f>AND(MONTH(DATE($G$1,3,ROW()-3))=3,COUNTIF(Feiertage!$A$2:$A$13,DATE($G$1,3,ROW()-3))&gt;0)</xm:f>
            <x14:dxf>
              <fill>
                <patternFill patternType="solid">
                  <fgColor rgb="FFDCE8C4"/>
                </patternFill>
              </fill>
            </x14:dxf>
          </x14:cfRule>
          <xm:sqref>C17</xm:sqref>
        </x14:conditionalFormatting>
        <x14:conditionalFormatting xmlns:xm="http://schemas.microsoft.com/office/excel/2006/main">
          <x14:cfRule type="expression" priority="230" stopIfTrue="1" id="{7320C834-017C-493A-ADEF-70C3C7DC8A93}">
            <xm:f>AND(MONTH(DATE($G$1,3,ROW()-3))=3,COUNTIF(Feiertage!$A$2:$A$13,DATE($G$1,3,ROW()-3))&gt;0)</xm:f>
            <x14:dxf>
              <fill>
                <patternFill patternType="solid">
                  <fgColor rgb="FFDCE8C4"/>
                </patternFill>
              </fill>
            </x14:dxf>
          </x14:cfRule>
          <xm:sqref>C18</xm:sqref>
        </x14:conditionalFormatting>
        <x14:conditionalFormatting xmlns:xm="http://schemas.microsoft.com/office/excel/2006/main">
          <x14:cfRule type="expression" priority="233" stopIfTrue="1" id="{9433DBE9-5C33-41A8-B037-F502149A4556}">
            <xm:f>AND(MONTH(DATE($G$1,3,ROW()-3))=3,COUNTIF(Feiertage!$A$2:$A$13,DATE($G$1,3,ROW()-3))&gt;0)</xm:f>
            <x14:dxf>
              <fill>
                <patternFill patternType="solid">
                  <fgColor rgb="FFDCE8C4"/>
                </patternFill>
              </fill>
            </x14:dxf>
          </x14:cfRule>
          <xm:sqref>C19</xm:sqref>
        </x14:conditionalFormatting>
        <x14:conditionalFormatting xmlns:xm="http://schemas.microsoft.com/office/excel/2006/main">
          <x14:cfRule type="expression" priority="236" stopIfTrue="1" id="{E00FDFA4-12C3-4EEB-B5CD-9044351A672D}">
            <xm:f>AND(MONTH(DATE($G$1,3,ROW()-3))=3,COUNTIF(Feiertage!$A$2:$A$13,DATE($G$1,3,ROW()-3))&gt;0)</xm:f>
            <x14:dxf>
              <fill>
                <patternFill patternType="solid">
                  <fgColor rgb="FFDCE8C4"/>
                </patternFill>
              </fill>
            </x14:dxf>
          </x14:cfRule>
          <xm:sqref>C20</xm:sqref>
        </x14:conditionalFormatting>
        <x14:conditionalFormatting xmlns:xm="http://schemas.microsoft.com/office/excel/2006/main">
          <x14:cfRule type="expression" priority="239" stopIfTrue="1" id="{26A02379-62D7-4B04-8C00-5CE64A9CC0FA}">
            <xm:f>AND(MONTH(DATE($G$1,3,ROW()-3))=3,COUNTIF(Feiertage!$A$2:$A$13,DATE($G$1,3,ROW()-3))&gt;0)</xm:f>
            <x14:dxf>
              <fill>
                <patternFill patternType="solid">
                  <fgColor rgb="FFDCE8C4"/>
                </patternFill>
              </fill>
            </x14:dxf>
          </x14:cfRule>
          <xm:sqref>C21</xm:sqref>
        </x14:conditionalFormatting>
        <x14:conditionalFormatting xmlns:xm="http://schemas.microsoft.com/office/excel/2006/main">
          <x14:cfRule type="expression" priority="242" stopIfTrue="1" id="{A0656C8D-4059-422E-BE09-97EE974709C0}">
            <xm:f>AND(MONTH(DATE($G$1,3,ROW()-3))=3,COUNTIF(Feiertage!$A$2:$A$13,DATE($G$1,3,ROW()-3))&gt;0)</xm:f>
            <x14:dxf>
              <fill>
                <patternFill patternType="solid">
                  <fgColor rgb="FFDCE8C4"/>
                </patternFill>
              </fill>
            </x14:dxf>
          </x14:cfRule>
          <xm:sqref>C22</xm:sqref>
        </x14:conditionalFormatting>
        <x14:conditionalFormatting xmlns:xm="http://schemas.microsoft.com/office/excel/2006/main">
          <x14:cfRule type="expression" priority="245" stopIfTrue="1" id="{8DD40199-4FC0-487C-B04D-885A308B016B}">
            <xm:f>AND(MONTH(DATE($G$1,3,ROW()-3))=3,COUNTIF(Feiertage!$A$2:$A$13,DATE($G$1,3,ROW()-3))&gt;0)</xm:f>
            <x14:dxf>
              <fill>
                <patternFill patternType="solid">
                  <fgColor rgb="FFDCE8C4"/>
                </patternFill>
              </fill>
            </x14:dxf>
          </x14:cfRule>
          <xm:sqref>C23</xm:sqref>
        </x14:conditionalFormatting>
        <x14:conditionalFormatting xmlns:xm="http://schemas.microsoft.com/office/excel/2006/main">
          <x14:cfRule type="expression" priority="248" stopIfTrue="1" id="{7DBFB9DA-ADBA-48CA-868F-A2CBFF38B1F0}">
            <xm:f>AND(MONTH(DATE($G$1,3,ROW()-3))=3,COUNTIF(Feiertage!$A$2:$A$13,DATE($G$1,3,ROW()-3))&gt;0)</xm:f>
            <x14:dxf>
              <fill>
                <patternFill patternType="solid">
                  <fgColor rgb="FFDCE8C4"/>
                </patternFill>
              </fill>
            </x14:dxf>
          </x14:cfRule>
          <xm:sqref>C24</xm:sqref>
        </x14:conditionalFormatting>
        <x14:conditionalFormatting xmlns:xm="http://schemas.microsoft.com/office/excel/2006/main">
          <x14:cfRule type="expression" priority="251" stopIfTrue="1" id="{859D8DA2-1AAF-4A25-9771-58A96B0B86F5}">
            <xm:f>AND(MONTH(DATE($G$1,3,ROW()-3))=3,COUNTIF(Feiertage!$A$2:$A$13,DATE($G$1,3,ROW()-3))&gt;0)</xm:f>
            <x14:dxf>
              <fill>
                <patternFill patternType="solid">
                  <fgColor rgb="FFDCE8C4"/>
                </patternFill>
              </fill>
            </x14:dxf>
          </x14:cfRule>
          <xm:sqref>C25</xm:sqref>
        </x14:conditionalFormatting>
        <x14:conditionalFormatting xmlns:xm="http://schemas.microsoft.com/office/excel/2006/main">
          <x14:cfRule type="expression" priority="254" stopIfTrue="1" id="{E2921940-F921-4B58-924A-FF08D7674EB1}">
            <xm:f>AND(MONTH(DATE($G$1,3,ROW()-3))=3,COUNTIF(Feiertage!$A$2:$A$13,DATE($G$1,3,ROW()-3))&gt;0)</xm:f>
            <x14:dxf>
              <fill>
                <patternFill patternType="solid">
                  <fgColor rgb="FFDCE8C4"/>
                </patternFill>
              </fill>
            </x14:dxf>
          </x14:cfRule>
          <xm:sqref>C26</xm:sqref>
        </x14:conditionalFormatting>
        <x14:conditionalFormatting xmlns:xm="http://schemas.microsoft.com/office/excel/2006/main">
          <x14:cfRule type="expression" priority="257" stopIfTrue="1" id="{77441234-5692-42E6-B6C6-66A739F7008C}">
            <xm:f>AND(MONTH(DATE($G$1,3,ROW()-3))=3,COUNTIF(Feiertage!$A$2:$A$13,DATE($G$1,3,ROW()-3))&gt;0)</xm:f>
            <x14:dxf>
              <fill>
                <patternFill patternType="solid">
                  <fgColor rgb="FFDCE8C4"/>
                </patternFill>
              </fill>
            </x14:dxf>
          </x14:cfRule>
          <xm:sqref>C27</xm:sqref>
        </x14:conditionalFormatting>
        <x14:conditionalFormatting xmlns:xm="http://schemas.microsoft.com/office/excel/2006/main">
          <x14:cfRule type="expression" priority="260" stopIfTrue="1" id="{3EADC1B6-49C6-491F-9F55-0004A8CD31FF}">
            <xm:f>AND(MONTH(DATE($G$1,3,ROW()-3))=3,COUNTIF(Feiertage!$A$2:$A$13,DATE($G$1,3,ROW()-3))&gt;0)</xm:f>
            <x14:dxf>
              <fill>
                <patternFill patternType="solid">
                  <fgColor rgb="FFDCE8C4"/>
                </patternFill>
              </fill>
            </x14:dxf>
          </x14:cfRule>
          <xm:sqref>C28</xm:sqref>
        </x14:conditionalFormatting>
        <x14:conditionalFormatting xmlns:xm="http://schemas.microsoft.com/office/excel/2006/main">
          <x14:cfRule type="expression" priority="263" stopIfTrue="1" id="{D5BB8FD5-DC41-4C3E-84CF-1CFDA516A887}">
            <xm:f>AND(MONTH(DATE($G$1,3,ROW()-3))=3,COUNTIF(Feiertage!$A$2:$A$13,DATE($G$1,3,ROW()-3))&gt;0)</xm:f>
            <x14:dxf>
              <fill>
                <patternFill patternType="solid">
                  <fgColor rgb="FFDCE8C4"/>
                </patternFill>
              </fill>
            </x14:dxf>
          </x14:cfRule>
          <xm:sqref>C29</xm:sqref>
        </x14:conditionalFormatting>
        <x14:conditionalFormatting xmlns:xm="http://schemas.microsoft.com/office/excel/2006/main">
          <x14:cfRule type="expression" priority="266" stopIfTrue="1" id="{157C56B0-6699-4B06-A48B-2A440839D457}">
            <xm:f>AND(MONTH(DATE($G$1,3,ROW()-3))=3,COUNTIF(Feiertage!$A$2:$A$13,DATE($G$1,3,ROW()-3))&gt;0)</xm:f>
            <x14:dxf>
              <fill>
                <patternFill patternType="solid">
                  <fgColor rgb="FFDCE8C4"/>
                </patternFill>
              </fill>
            </x14:dxf>
          </x14:cfRule>
          <xm:sqref>C30</xm:sqref>
        </x14:conditionalFormatting>
        <x14:conditionalFormatting xmlns:xm="http://schemas.microsoft.com/office/excel/2006/main">
          <x14:cfRule type="expression" priority="269" stopIfTrue="1" id="{4817357A-FF13-46A8-84AB-9B3359A080F1}">
            <xm:f>AND(MONTH(DATE($G$1,3,ROW()-3))=3,COUNTIF(Feiertage!$A$2:$A$13,DATE($G$1,3,ROW()-3))&gt;0)</xm:f>
            <x14:dxf>
              <fill>
                <patternFill patternType="solid">
                  <fgColor rgb="FFDCE8C4"/>
                </patternFill>
              </fill>
            </x14:dxf>
          </x14:cfRule>
          <xm:sqref>C31</xm:sqref>
        </x14:conditionalFormatting>
        <x14:conditionalFormatting xmlns:xm="http://schemas.microsoft.com/office/excel/2006/main">
          <x14:cfRule type="expression" priority="272" stopIfTrue="1" id="{315863A5-020D-4C8B-9697-36E1C692FB82}">
            <xm:f>AND(MONTH(DATE($G$1,3,ROW()-3))=3,COUNTIF(Feiertage!$A$2:$A$13,DATE($G$1,3,ROW()-3))&gt;0)</xm:f>
            <x14:dxf>
              <fill>
                <patternFill patternType="solid">
                  <fgColor rgb="FFDCE8C4"/>
                </patternFill>
              </fill>
            </x14:dxf>
          </x14:cfRule>
          <xm:sqref>C32</xm:sqref>
        </x14:conditionalFormatting>
        <x14:conditionalFormatting xmlns:xm="http://schemas.microsoft.com/office/excel/2006/main">
          <x14:cfRule type="expression" priority="275" stopIfTrue="1" id="{52714A91-0CCA-467B-97D8-F1C758465BFB}">
            <xm:f>AND(MONTH(DATE($G$1,3,ROW()-3))=3,COUNTIF(Feiertage!$A$2:$A$13,DATE($G$1,3,ROW()-3))&gt;0)</xm:f>
            <x14:dxf>
              <fill>
                <patternFill patternType="solid">
                  <fgColor rgb="FFDCE8C4"/>
                </patternFill>
              </fill>
            </x14:dxf>
          </x14:cfRule>
          <xm:sqref>C33</xm:sqref>
        </x14:conditionalFormatting>
        <x14:conditionalFormatting xmlns:xm="http://schemas.microsoft.com/office/excel/2006/main">
          <x14:cfRule type="expression" priority="278" stopIfTrue="1" id="{55E7B49C-BDD2-467F-AE3D-810A2765E13C}">
            <xm:f>AND(MONTH(DATE($G$1,3,ROW()-3))=3,COUNTIF(Feiertage!$A$2:$A$13,DATE($G$1,3,ROW()-3))&gt;0)</xm:f>
            <x14:dxf>
              <fill>
                <patternFill patternType="solid">
                  <fgColor rgb="FFDCE8C4"/>
                </patternFill>
              </fill>
            </x14:dxf>
          </x14:cfRule>
          <xm:sqref>C34</xm:sqref>
        </x14:conditionalFormatting>
        <x14:conditionalFormatting xmlns:xm="http://schemas.microsoft.com/office/excel/2006/main">
          <x14:cfRule type="expression" priority="281" stopIfTrue="1" id="{8609CB7D-22CD-4C3F-BD0F-159D17A603A7}">
            <xm:f>AND(MONTH(DATE($G$1,4,ROW()-3))=4,COUNTIF(Feiertage!$A$2:$A$13,DATE($G$1,4,ROW()-3))&gt;0)</xm:f>
            <x14:dxf>
              <fill>
                <patternFill patternType="solid">
                  <fgColor rgb="FFDCE8C4"/>
                </patternFill>
              </fill>
            </x14:dxf>
          </x14:cfRule>
          <xm:sqref>D4</xm:sqref>
        </x14:conditionalFormatting>
        <x14:conditionalFormatting xmlns:xm="http://schemas.microsoft.com/office/excel/2006/main">
          <x14:cfRule type="expression" priority="284" stopIfTrue="1" id="{211002B1-8413-4014-B270-E751CCE2E6C5}">
            <xm:f>AND(MONTH(DATE($G$1,4,ROW()-3))=4,COUNTIF(Feiertage!$A$2:$A$13,DATE($G$1,4,ROW()-3))&gt;0)</xm:f>
            <x14:dxf>
              <fill>
                <patternFill patternType="solid">
                  <fgColor rgb="FFDCE8C4"/>
                </patternFill>
              </fill>
            </x14:dxf>
          </x14:cfRule>
          <xm:sqref>D5</xm:sqref>
        </x14:conditionalFormatting>
        <x14:conditionalFormatting xmlns:xm="http://schemas.microsoft.com/office/excel/2006/main">
          <x14:cfRule type="expression" priority="287" stopIfTrue="1" id="{EFB192E9-696D-43D0-B254-51F8E251A97C}">
            <xm:f>AND(MONTH(DATE($G$1,4,ROW()-3))=4,COUNTIF(Feiertage!$A$2:$A$13,DATE($G$1,4,ROW()-3))&gt;0)</xm:f>
            <x14:dxf>
              <fill>
                <patternFill patternType="solid">
                  <fgColor rgb="FFDCE8C4"/>
                </patternFill>
              </fill>
            </x14:dxf>
          </x14:cfRule>
          <xm:sqref>D6</xm:sqref>
        </x14:conditionalFormatting>
        <x14:conditionalFormatting xmlns:xm="http://schemas.microsoft.com/office/excel/2006/main">
          <x14:cfRule type="expression" priority="290" stopIfTrue="1" id="{F1941996-985B-42B0-808C-9B4BF0FACA61}">
            <xm:f>AND(MONTH(DATE($G$1,4,ROW()-3))=4,COUNTIF(Feiertage!$A$2:$A$13,DATE($G$1,4,ROW()-3))&gt;0)</xm:f>
            <x14:dxf>
              <fill>
                <patternFill patternType="solid">
                  <fgColor rgb="FFDCE8C4"/>
                </patternFill>
              </fill>
            </x14:dxf>
          </x14:cfRule>
          <xm:sqref>D7</xm:sqref>
        </x14:conditionalFormatting>
        <x14:conditionalFormatting xmlns:xm="http://schemas.microsoft.com/office/excel/2006/main">
          <x14:cfRule type="expression" priority="293" stopIfTrue="1" id="{F6EDDBCD-CCE5-4A0B-B7FD-36D68FE062B2}">
            <xm:f>AND(MONTH(DATE($G$1,4,ROW()-3))=4,COUNTIF(Feiertage!$A$2:$A$13,DATE($G$1,4,ROW()-3))&gt;0)</xm:f>
            <x14:dxf>
              <fill>
                <patternFill patternType="solid">
                  <fgColor rgb="FFDCE8C4"/>
                </patternFill>
              </fill>
            </x14:dxf>
          </x14:cfRule>
          <xm:sqref>D8</xm:sqref>
        </x14:conditionalFormatting>
        <x14:conditionalFormatting xmlns:xm="http://schemas.microsoft.com/office/excel/2006/main">
          <x14:cfRule type="expression" priority="296" stopIfTrue="1" id="{EBC0F838-40E7-4C7B-98A9-B01BD33E388F}">
            <xm:f>AND(MONTH(DATE($G$1,4,ROW()-3))=4,COUNTIF(Feiertage!$A$2:$A$13,DATE($G$1,4,ROW()-3))&gt;0)</xm:f>
            <x14:dxf>
              <fill>
                <patternFill patternType="solid">
                  <fgColor rgb="FFDCE8C4"/>
                </patternFill>
              </fill>
            </x14:dxf>
          </x14:cfRule>
          <xm:sqref>D9</xm:sqref>
        </x14:conditionalFormatting>
        <x14:conditionalFormatting xmlns:xm="http://schemas.microsoft.com/office/excel/2006/main">
          <x14:cfRule type="expression" priority="299" stopIfTrue="1" id="{09E32AB1-3678-405D-BF0E-BA0D14C0D51B}">
            <xm:f>AND(MONTH(DATE($G$1,4,ROW()-3))=4,COUNTIF(Feiertage!$A$2:$A$13,DATE($G$1,4,ROW()-3))&gt;0)</xm:f>
            <x14:dxf>
              <fill>
                <patternFill patternType="solid">
                  <fgColor rgb="FFDCE8C4"/>
                </patternFill>
              </fill>
            </x14:dxf>
          </x14:cfRule>
          <xm:sqref>D10</xm:sqref>
        </x14:conditionalFormatting>
        <x14:conditionalFormatting xmlns:xm="http://schemas.microsoft.com/office/excel/2006/main">
          <x14:cfRule type="expression" priority="302" stopIfTrue="1" id="{86AC2029-86B8-4126-BAE3-3B3D730AD2D4}">
            <xm:f>AND(MONTH(DATE($G$1,4,ROW()-3))=4,COUNTIF(Feiertage!$A$2:$A$13,DATE($G$1,4,ROW()-3))&gt;0)</xm:f>
            <x14:dxf>
              <fill>
                <patternFill patternType="solid">
                  <fgColor rgb="FFDCE8C4"/>
                </patternFill>
              </fill>
            </x14:dxf>
          </x14:cfRule>
          <xm:sqref>D11</xm:sqref>
        </x14:conditionalFormatting>
        <x14:conditionalFormatting xmlns:xm="http://schemas.microsoft.com/office/excel/2006/main">
          <x14:cfRule type="expression" priority="305" stopIfTrue="1" id="{33412CF9-EAFC-4C58-A04B-A4C6E8A5A50E}">
            <xm:f>AND(MONTH(DATE($G$1,4,ROW()-3))=4,COUNTIF(Feiertage!$A$2:$A$13,DATE($G$1,4,ROW()-3))&gt;0)</xm:f>
            <x14:dxf>
              <fill>
                <patternFill patternType="solid">
                  <fgColor rgb="FFDCE8C4"/>
                </patternFill>
              </fill>
            </x14:dxf>
          </x14:cfRule>
          <xm:sqref>D12</xm:sqref>
        </x14:conditionalFormatting>
        <x14:conditionalFormatting xmlns:xm="http://schemas.microsoft.com/office/excel/2006/main">
          <x14:cfRule type="expression" priority="308" stopIfTrue="1" id="{7D59552D-6F5D-48D2-A359-43CC26FA3B0C}">
            <xm:f>AND(MONTH(DATE($G$1,4,ROW()-3))=4,COUNTIF(Feiertage!$A$2:$A$13,DATE($G$1,4,ROW()-3))&gt;0)</xm:f>
            <x14:dxf>
              <fill>
                <patternFill patternType="solid">
                  <fgColor rgb="FFDCE8C4"/>
                </patternFill>
              </fill>
            </x14:dxf>
          </x14:cfRule>
          <xm:sqref>D13</xm:sqref>
        </x14:conditionalFormatting>
        <x14:conditionalFormatting xmlns:xm="http://schemas.microsoft.com/office/excel/2006/main">
          <x14:cfRule type="expression" priority="311" stopIfTrue="1" id="{52160ED9-3696-49EB-9CBC-E5EAF01F541A}">
            <xm:f>AND(MONTH(DATE($G$1,4,ROW()-3))=4,COUNTIF(Feiertage!$A$2:$A$13,DATE($G$1,4,ROW()-3))&gt;0)</xm:f>
            <x14:dxf>
              <fill>
                <patternFill patternType="solid">
                  <fgColor rgb="FFDCE8C4"/>
                </patternFill>
              </fill>
            </x14:dxf>
          </x14:cfRule>
          <xm:sqref>D14</xm:sqref>
        </x14:conditionalFormatting>
        <x14:conditionalFormatting xmlns:xm="http://schemas.microsoft.com/office/excel/2006/main">
          <x14:cfRule type="expression" priority="314" stopIfTrue="1" id="{B24574CD-67DC-46BE-8B00-4D9236E8745C}">
            <xm:f>AND(MONTH(DATE($G$1,4,ROW()-3))=4,COUNTIF(Feiertage!$A$2:$A$13,DATE($G$1,4,ROW()-3))&gt;0)</xm:f>
            <x14:dxf>
              <fill>
                <patternFill patternType="solid">
                  <fgColor rgb="FFDCE8C4"/>
                </patternFill>
              </fill>
            </x14:dxf>
          </x14:cfRule>
          <xm:sqref>D15</xm:sqref>
        </x14:conditionalFormatting>
        <x14:conditionalFormatting xmlns:xm="http://schemas.microsoft.com/office/excel/2006/main">
          <x14:cfRule type="expression" priority="317" stopIfTrue="1" id="{98B34926-34DE-4F47-B7CC-37228ED53E0A}">
            <xm:f>AND(MONTH(DATE($G$1,4,ROW()-3))=4,COUNTIF(Feiertage!$A$2:$A$13,DATE($G$1,4,ROW()-3))&gt;0)</xm:f>
            <x14:dxf>
              <fill>
                <patternFill patternType="solid">
                  <fgColor rgb="FFDCE8C4"/>
                </patternFill>
              </fill>
            </x14:dxf>
          </x14:cfRule>
          <xm:sqref>D16</xm:sqref>
        </x14:conditionalFormatting>
        <x14:conditionalFormatting xmlns:xm="http://schemas.microsoft.com/office/excel/2006/main">
          <x14:cfRule type="expression" priority="320" stopIfTrue="1" id="{595A87A8-DA29-4237-AC3E-687A37CAFC30}">
            <xm:f>AND(MONTH(DATE($G$1,4,ROW()-3))=4,COUNTIF(Feiertage!$A$2:$A$13,DATE($G$1,4,ROW()-3))&gt;0)</xm:f>
            <x14:dxf>
              <fill>
                <patternFill patternType="solid">
                  <fgColor rgb="FFDCE8C4"/>
                </patternFill>
              </fill>
            </x14:dxf>
          </x14:cfRule>
          <xm:sqref>D17</xm:sqref>
        </x14:conditionalFormatting>
        <x14:conditionalFormatting xmlns:xm="http://schemas.microsoft.com/office/excel/2006/main">
          <x14:cfRule type="expression" priority="323" stopIfTrue="1" id="{8CF33E80-F35A-4627-B6E5-79143E1EE320}">
            <xm:f>AND(MONTH(DATE($G$1,4,ROW()-3))=4,COUNTIF(Feiertage!$A$2:$A$13,DATE($G$1,4,ROW()-3))&gt;0)</xm:f>
            <x14:dxf>
              <fill>
                <patternFill patternType="solid">
                  <fgColor rgb="FFDCE8C4"/>
                </patternFill>
              </fill>
            </x14:dxf>
          </x14:cfRule>
          <xm:sqref>D18</xm:sqref>
        </x14:conditionalFormatting>
        <x14:conditionalFormatting xmlns:xm="http://schemas.microsoft.com/office/excel/2006/main">
          <x14:cfRule type="expression" priority="326" stopIfTrue="1" id="{30E40EB2-E4B7-43B2-8314-62185C5A3C05}">
            <xm:f>AND(MONTH(DATE($G$1,4,ROW()-3))=4,COUNTIF(Feiertage!$A$2:$A$13,DATE($G$1,4,ROW()-3))&gt;0)</xm:f>
            <x14:dxf>
              <fill>
                <patternFill patternType="solid">
                  <fgColor rgb="FFDCE8C4"/>
                </patternFill>
              </fill>
            </x14:dxf>
          </x14:cfRule>
          <xm:sqref>D19</xm:sqref>
        </x14:conditionalFormatting>
        <x14:conditionalFormatting xmlns:xm="http://schemas.microsoft.com/office/excel/2006/main">
          <x14:cfRule type="expression" priority="329" stopIfTrue="1" id="{6F2BEDDD-DC78-43A8-9116-238564EE943D}">
            <xm:f>AND(MONTH(DATE($G$1,4,ROW()-3))=4,COUNTIF(Feiertage!$A$2:$A$13,DATE($G$1,4,ROW()-3))&gt;0)</xm:f>
            <x14:dxf>
              <fill>
                <patternFill patternType="solid">
                  <fgColor rgb="FFDCE8C4"/>
                </patternFill>
              </fill>
            </x14:dxf>
          </x14:cfRule>
          <xm:sqref>D20</xm:sqref>
        </x14:conditionalFormatting>
        <x14:conditionalFormatting xmlns:xm="http://schemas.microsoft.com/office/excel/2006/main">
          <x14:cfRule type="expression" priority="332" stopIfTrue="1" id="{C300A642-EFEE-416F-8259-E8CB55AE5703}">
            <xm:f>AND(MONTH(DATE($G$1,4,ROW()-3))=4,COUNTIF(Feiertage!$A$2:$A$13,DATE($G$1,4,ROW()-3))&gt;0)</xm:f>
            <x14:dxf>
              <fill>
                <patternFill patternType="solid">
                  <fgColor rgb="FFDCE8C4"/>
                </patternFill>
              </fill>
            </x14:dxf>
          </x14:cfRule>
          <xm:sqref>D21</xm:sqref>
        </x14:conditionalFormatting>
        <x14:conditionalFormatting xmlns:xm="http://schemas.microsoft.com/office/excel/2006/main">
          <x14:cfRule type="expression" priority="335" stopIfTrue="1" id="{4BF9A541-9DE8-4D0F-850B-0A1C8E4DAE80}">
            <xm:f>AND(MONTH(DATE($G$1,4,ROW()-3))=4,COUNTIF(Feiertage!$A$2:$A$13,DATE($G$1,4,ROW()-3))&gt;0)</xm:f>
            <x14:dxf>
              <fill>
                <patternFill patternType="solid">
                  <fgColor rgb="FFDCE8C4"/>
                </patternFill>
              </fill>
            </x14:dxf>
          </x14:cfRule>
          <xm:sqref>D22</xm:sqref>
        </x14:conditionalFormatting>
        <x14:conditionalFormatting xmlns:xm="http://schemas.microsoft.com/office/excel/2006/main">
          <x14:cfRule type="expression" priority="338" stopIfTrue="1" id="{3C7C6FF0-591F-4ED5-8C11-E94B8FD31616}">
            <xm:f>AND(MONTH(DATE($G$1,4,ROW()-3))=4,COUNTIF(Feiertage!$A$2:$A$13,DATE($G$1,4,ROW()-3))&gt;0)</xm:f>
            <x14:dxf>
              <fill>
                <patternFill patternType="solid">
                  <fgColor rgb="FFDCE8C4"/>
                </patternFill>
              </fill>
            </x14:dxf>
          </x14:cfRule>
          <xm:sqref>D23</xm:sqref>
        </x14:conditionalFormatting>
        <x14:conditionalFormatting xmlns:xm="http://schemas.microsoft.com/office/excel/2006/main">
          <x14:cfRule type="expression" priority="341" stopIfTrue="1" id="{7FC7E6C8-2A4B-4343-9677-52837CA2A5C2}">
            <xm:f>AND(MONTH(DATE($G$1,4,ROW()-3))=4,COUNTIF(Feiertage!$A$2:$A$13,DATE($G$1,4,ROW()-3))&gt;0)</xm:f>
            <x14:dxf>
              <fill>
                <patternFill patternType="solid">
                  <fgColor rgb="FFDCE8C4"/>
                </patternFill>
              </fill>
            </x14:dxf>
          </x14:cfRule>
          <xm:sqref>D24</xm:sqref>
        </x14:conditionalFormatting>
        <x14:conditionalFormatting xmlns:xm="http://schemas.microsoft.com/office/excel/2006/main">
          <x14:cfRule type="expression" priority="344" stopIfTrue="1" id="{5315E215-9184-483D-B3EB-3C87A4BB7D07}">
            <xm:f>AND(MONTH(DATE($G$1,4,ROW()-3))=4,COUNTIF(Feiertage!$A$2:$A$13,DATE($G$1,4,ROW()-3))&gt;0)</xm:f>
            <x14:dxf>
              <fill>
                <patternFill patternType="solid">
                  <fgColor rgb="FFDCE8C4"/>
                </patternFill>
              </fill>
            </x14:dxf>
          </x14:cfRule>
          <xm:sqref>D25</xm:sqref>
        </x14:conditionalFormatting>
        <x14:conditionalFormatting xmlns:xm="http://schemas.microsoft.com/office/excel/2006/main">
          <x14:cfRule type="expression" priority="347" stopIfTrue="1" id="{67AE0698-A6F4-405B-9D0D-5EED4EA3C7B0}">
            <xm:f>AND(MONTH(DATE($G$1,4,ROW()-3))=4,COUNTIF(Feiertage!$A$2:$A$13,DATE($G$1,4,ROW()-3))&gt;0)</xm:f>
            <x14:dxf>
              <fill>
                <patternFill patternType="solid">
                  <fgColor rgb="FFDCE8C4"/>
                </patternFill>
              </fill>
            </x14:dxf>
          </x14:cfRule>
          <xm:sqref>D26</xm:sqref>
        </x14:conditionalFormatting>
        <x14:conditionalFormatting xmlns:xm="http://schemas.microsoft.com/office/excel/2006/main">
          <x14:cfRule type="expression" priority="350" stopIfTrue="1" id="{99EF35AE-FCE3-4C92-AF15-5502E28FF0FC}">
            <xm:f>AND(MONTH(DATE($G$1,4,ROW()-3))=4,COUNTIF(Feiertage!$A$2:$A$13,DATE($G$1,4,ROW()-3))&gt;0)</xm:f>
            <x14:dxf>
              <fill>
                <patternFill patternType="solid">
                  <fgColor rgb="FFDCE8C4"/>
                </patternFill>
              </fill>
            </x14:dxf>
          </x14:cfRule>
          <xm:sqref>D27</xm:sqref>
        </x14:conditionalFormatting>
        <x14:conditionalFormatting xmlns:xm="http://schemas.microsoft.com/office/excel/2006/main">
          <x14:cfRule type="expression" priority="353" stopIfTrue="1" id="{EA72D196-62A5-48A0-AD4C-5E1A7B27A188}">
            <xm:f>AND(MONTH(DATE($G$1,4,ROW()-3))=4,COUNTIF(Feiertage!$A$2:$A$13,DATE($G$1,4,ROW()-3))&gt;0)</xm:f>
            <x14:dxf>
              <fill>
                <patternFill patternType="solid">
                  <fgColor rgb="FFDCE8C4"/>
                </patternFill>
              </fill>
            </x14:dxf>
          </x14:cfRule>
          <xm:sqref>D28</xm:sqref>
        </x14:conditionalFormatting>
        <x14:conditionalFormatting xmlns:xm="http://schemas.microsoft.com/office/excel/2006/main">
          <x14:cfRule type="expression" priority="356" stopIfTrue="1" id="{D36993F6-DBA3-402F-9D38-2F1C50975DF1}">
            <xm:f>AND(MONTH(DATE($G$1,4,ROW()-3))=4,COUNTIF(Feiertage!$A$2:$A$13,DATE($G$1,4,ROW()-3))&gt;0)</xm:f>
            <x14:dxf>
              <fill>
                <patternFill patternType="solid">
                  <fgColor rgb="FFDCE8C4"/>
                </patternFill>
              </fill>
            </x14:dxf>
          </x14:cfRule>
          <xm:sqref>D29</xm:sqref>
        </x14:conditionalFormatting>
        <x14:conditionalFormatting xmlns:xm="http://schemas.microsoft.com/office/excel/2006/main">
          <x14:cfRule type="expression" priority="359" stopIfTrue="1" id="{F31ED457-80EA-4EDA-8791-99B42F1BAF97}">
            <xm:f>AND(MONTH(DATE($G$1,4,ROW()-3))=4,COUNTIF(Feiertage!$A$2:$A$13,DATE($G$1,4,ROW()-3))&gt;0)</xm:f>
            <x14:dxf>
              <fill>
                <patternFill patternType="solid">
                  <fgColor rgb="FFDCE8C4"/>
                </patternFill>
              </fill>
            </x14:dxf>
          </x14:cfRule>
          <xm:sqref>D30</xm:sqref>
        </x14:conditionalFormatting>
        <x14:conditionalFormatting xmlns:xm="http://schemas.microsoft.com/office/excel/2006/main">
          <x14:cfRule type="expression" priority="362" stopIfTrue="1" id="{3F8FC24B-B95F-4549-B92B-D332BC48C213}">
            <xm:f>AND(MONTH(DATE($G$1,4,ROW()-3))=4,COUNTIF(Feiertage!$A$2:$A$13,DATE($G$1,4,ROW()-3))&gt;0)</xm:f>
            <x14:dxf>
              <fill>
                <patternFill patternType="solid">
                  <fgColor rgb="FFDCE8C4"/>
                </patternFill>
              </fill>
            </x14:dxf>
          </x14:cfRule>
          <xm:sqref>D31</xm:sqref>
        </x14:conditionalFormatting>
        <x14:conditionalFormatting xmlns:xm="http://schemas.microsoft.com/office/excel/2006/main">
          <x14:cfRule type="expression" priority="365" stopIfTrue="1" id="{203E2A66-97A9-4A2C-B5AB-043AA55C5EDB}">
            <xm:f>AND(MONTH(DATE($G$1,4,ROW()-3))=4,COUNTIF(Feiertage!$A$2:$A$13,DATE($G$1,4,ROW()-3))&gt;0)</xm:f>
            <x14:dxf>
              <fill>
                <patternFill patternType="solid">
                  <fgColor rgb="FFDCE8C4"/>
                </patternFill>
              </fill>
            </x14:dxf>
          </x14:cfRule>
          <xm:sqref>D32</xm:sqref>
        </x14:conditionalFormatting>
        <x14:conditionalFormatting xmlns:xm="http://schemas.microsoft.com/office/excel/2006/main">
          <x14:cfRule type="expression" priority="368" stopIfTrue="1" id="{E2E5C677-54B0-4457-AB92-57C4D37ACF48}">
            <xm:f>AND(MONTH(DATE($G$1,4,ROW()-3))=4,COUNTIF(Feiertage!$A$2:$A$13,DATE($G$1,4,ROW()-3))&gt;0)</xm:f>
            <x14:dxf>
              <fill>
                <patternFill patternType="solid">
                  <fgColor rgb="FFDCE8C4"/>
                </patternFill>
              </fill>
            </x14:dxf>
          </x14:cfRule>
          <xm:sqref>D33</xm:sqref>
        </x14:conditionalFormatting>
        <x14:conditionalFormatting xmlns:xm="http://schemas.microsoft.com/office/excel/2006/main">
          <x14:cfRule type="expression" priority="371" stopIfTrue="1" id="{EEC87A90-2629-41AD-BDCA-7C45511E8AEC}">
            <xm:f>AND(MONTH(DATE($G$1,4,ROW()-3))=4,COUNTIF(Feiertage!$A$2:$A$13,DATE($G$1,4,ROW()-3))&gt;0)</xm:f>
            <x14:dxf>
              <fill>
                <patternFill patternType="solid">
                  <fgColor rgb="FFDCE8C4"/>
                </patternFill>
              </fill>
            </x14:dxf>
          </x14:cfRule>
          <xm:sqref>D34</xm:sqref>
        </x14:conditionalFormatting>
        <x14:conditionalFormatting xmlns:xm="http://schemas.microsoft.com/office/excel/2006/main">
          <x14:cfRule type="expression" priority="374" stopIfTrue="1" id="{213F0D03-AB10-4635-8303-253AC21622CD}">
            <xm:f>AND(MONTH(DATE($G$1,5,ROW()-3))=5,COUNTIF(Feiertage!$A$2:$A$13,DATE($G$1,5,ROW()-3))&gt;0)</xm:f>
            <x14:dxf>
              <fill>
                <patternFill patternType="solid">
                  <fgColor rgb="FFDCE8C4"/>
                </patternFill>
              </fill>
            </x14:dxf>
          </x14:cfRule>
          <xm:sqref>E4</xm:sqref>
        </x14:conditionalFormatting>
        <x14:conditionalFormatting xmlns:xm="http://schemas.microsoft.com/office/excel/2006/main">
          <x14:cfRule type="expression" priority="377" stopIfTrue="1" id="{45E0C734-7AD0-4C12-9BB1-ACCEC762B455}">
            <xm:f>AND(MONTH(DATE($G$1,5,ROW()-3))=5,COUNTIF(Feiertage!$A$2:$A$13,DATE($G$1,5,ROW()-3))&gt;0)</xm:f>
            <x14:dxf>
              <fill>
                <patternFill patternType="solid">
                  <fgColor rgb="FFDCE8C4"/>
                </patternFill>
              </fill>
            </x14:dxf>
          </x14:cfRule>
          <xm:sqref>E5</xm:sqref>
        </x14:conditionalFormatting>
        <x14:conditionalFormatting xmlns:xm="http://schemas.microsoft.com/office/excel/2006/main">
          <x14:cfRule type="expression" priority="380" stopIfTrue="1" id="{EAF0F8F0-5840-4BD7-B163-7AD2CA1DCA13}">
            <xm:f>AND(MONTH(DATE($G$1,5,ROW()-3))=5,COUNTIF(Feiertage!$A$2:$A$13,DATE($G$1,5,ROW()-3))&gt;0)</xm:f>
            <x14:dxf>
              <fill>
                <patternFill patternType="solid">
                  <fgColor rgb="FFDCE8C4"/>
                </patternFill>
              </fill>
            </x14:dxf>
          </x14:cfRule>
          <xm:sqref>E6</xm:sqref>
        </x14:conditionalFormatting>
        <x14:conditionalFormatting xmlns:xm="http://schemas.microsoft.com/office/excel/2006/main">
          <x14:cfRule type="expression" priority="383" stopIfTrue="1" id="{B766DAAC-93BA-4AF8-89DC-9F6D53F75BC2}">
            <xm:f>AND(MONTH(DATE($G$1,5,ROW()-3))=5,COUNTIF(Feiertage!$A$2:$A$13,DATE($G$1,5,ROW()-3))&gt;0)</xm:f>
            <x14:dxf>
              <fill>
                <patternFill patternType="solid">
                  <fgColor rgb="FFDCE8C4"/>
                </patternFill>
              </fill>
            </x14:dxf>
          </x14:cfRule>
          <xm:sqref>E7</xm:sqref>
        </x14:conditionalFormatting>
        <x14:conditionalFormatting xmlns:xm="http://schemas.microsoft.com/office/excel/2006/main">
          <x14:cfRule type="expression" priority="386" stopIfTrue="1" id="{19595D1B-F498-44C9-9CED-6E23E5240D8E}">
            <xm:f>AND(MONTH(DATE($G$1,5,ROW()-3))=5,COUNTIF(Feiertage!$A$2:$A$13,DATE($G$1,5,ROW()-3))&gt;0)</xm:f>
            <x14:dxf>
              <fill>
                <patternFill patternType="solid">
                  <fgColor rgb="FFDCE8C4"/>
                </patternFill>
              </fill>
            </x14:dxf>
          </x14:cfRule>
          <xm:sqref>E8</xm:sqref>
        </x14:conditionalFormatting>
        <x14:conditionalFormatting xmlns:xm="http://schemas.microsoft.com/office/excel/2006/main">
          <x14:cfRule type="expression" priority="389" stopIfTrue="1" id="{FD8537E2-DDC9-4221-B6AB-EE79E3649E01}">
            <xm:f>AND(MONTH(DATE($G$1,5,ROW()-3))=5,COUNTIF(Feiertage!$A$2:$A$13,DATE($G$1,5,ROW()-3))&gt;0)</xm:f>
            <x14:dxf>
              <fill>
                <patternFill patternType="solid">
                  <fgColor rgb="FFDCE8C4"/>
                </patternFill>
              </fill>
            </x14:dxf>
          </x14:cfRule>
          <xm:sqref>E9</xm:sqref>
        </x14:conditionalFormatting>
        <x14:conditionalFormatting xmlns:xm="http://schemas.microsoft.com/office/excel/2006/main">
          <x14:cfRule type="expression" priority="392" stopIfTrue="1" id="{F1C0457E-0F34-4879-ABC6-F55867F04B05}">
            <xm:f>AND(MONTH(DATE($G$1,5,ROW()-3))=5,COUNTIF(Feiertage!$A$2:$A$13,DATE($G$1,5,ROW()-3))&gt;0)</xm:f>
            <x14:dxf>
              <fill>
                <patternFill patternType="solid">
                  <fgColor rgb="FFDCE8C4"/>
                </patternFill>
              </fill>
            </x14:dxf>
          </x14:cfRule>
          <xm:sqref>E10</xm:sqref>
        </x14:conditionalFormatting>
        <x14:conditionalFormatting xmlns:xm="http://schemas.microsoft.com/office/excel/2006/main">
          <x14:cfRule type="expression" priority="395" stopIfTrue="1" id="{57D8883B-038D-4E59-AAC2-58CEF38B47CF}">
            <xm:f>AND(MONTH(DATE($G$1,5,ROW()-3))=5,COUNTIF(Feiertage!$A$2:$A$13,DATE($G$1,5,ROW()-3))&gt;0)</xm:f>
            <x14:dxf>
              <fill>
                <patternFill patternType="solid">
                  <fgColor rgb="FFDCE8C4"/>
                </patternFill>
              </fill>
            </x14:dxf>
          </x14:cfRule>
          <xm:sqref>E11</xm:sqref>
        </x14:conditionalFormatting>
        <x14:conditionalFormatting xmlns:xm="http://schemas.microsoft.com/office/excel/2006/main">
          <x14:cfRule type="expression" priority="398" stopIfTrue="1" id="{2ADFF140-420E-4028-A05F-3F86DD1BE4B9}">
            <xm:f>AND(MONTH(DATE($G$1,5,ROW()-3))=5,COUNTIF(Feiertage!$A$2:$A$13,DATE($G$1,5,ROW()-3))&gt;0)</xm:f>
            <x14:dxf>
              <fill>
                <patternFill patternType="solid">
                  <fgColor rgb="FFDCE8C4"/>
                </patternFill>
              </fill>
            </x14:dxf>
          </x14:cfRule>
          <xm:sqref>E12</xm:sqref>
        </x14:conditionalFormatting>
        <x14:conditionalFormatting xmlns:xm="http://schemas.microsoft.com/office/excel/2006/main">
          <x14:cfRule type="expression" priority="401" stopIfTrue="1" id="{4EE3090A-D88C-4760-85D7-490F2C8763B6}">
            <xm:f>AND(MONTH(DATE($G$1,5,ROW()-3))=5,COUNTIF(Feiertage!$A$2:$A$13,DATE($G$1,5,ROW()-3))&gt;0)</xm:f>
            <x14:dxf>
              <fill>
                <patternFill patternType="solid">
                  <fgColor rgb="FFDCE8C4"/>
                </patternFill>
              </fill>
            </x14:dxf>
          </x14:cfRule>
          <xm:sqref>E13</xm:sqref>
        </x14:conditionalFormatting>
        <x14:conditionalFormatting xmlns:xm="http://schemas.microsoft.com/office/excel/2006/main">
          <x14:cfRule type="expression" priority="404" stopIfTrue="1" id="{7A5A867C-78B9-4B60-BCFF-2C0DE031EA65}">
            <xm:f>AND(MONTH(DATE($G$1,5,ROW()-3))=5,COUNTIF(Feiertage!$A$2:$A$13,DATE($G$1,5,ROW()-3))&gt;0)</xm:f>
            <x14:dxf>
              <fill>
                <patternFill patternType="solid">
                  <fgColor rgb="FFDCE8C4"/>
                </patternFill>
              </fill>
            </x14:dxf>
          </x14:cfRule>
          <xm:sqref>E14</xm:sqref>
        </x14:conditionalFormatting>
        <x14:conditionalFormatting xmlns:xm="http://schemas.microsoft.com/office/excel/2006/main">
          <x14:cfRule type="expression" priority="407" stopIfTrue="1" id="{21D1DFE5-EC77-4FEC-B315-09FCDBB85CD8}">
            <xm:f>AND(MONTH(DATE($G$1,5,ROW()-3))=5,COUNTIF(Feiertage!$A$2:$A$13,DATE($G$1,5,ROW()-3))&gt;0)</xm:f>
            <x14:dxf>
              <fill>
                <patternFill patternType="solid">
                  <fgColor rgb="FFDCE8C4"/>
                </patternFill>
              </fill>
            </x14:dxf>
          </x14:cfRule>
          <xm:sqref>E15</xm:sqref>
        </x14:conditionalFormatting>
        <x14:conditionalFormatting xmlns:xm="http://schemas.microsoft.com/office/excel/2006/main">
          <x14:cfRule type="expression" priority="410" stopIfTrue="1" id="{17668F27-D4EF-4211-8D5D-54E060C93C96}">
            <xm:f>AND(MONTH(DATE($G$1,5,ROW()-3))=5,COUNTIF(Feiertage!$A$2:$A$13,DATE($G$1,5,ROW()-3))&gt;0)</xm:f>
            <x14:dxf>
              <fill>
                <patternFill patternType="solid">
                  <fgColor rgb="FFDCE8C4"/>
                </patternFill>
              </fill>
            </x14:dxf>
          </x14:cfRule>
          <xm:sqref>E16</xm:sqref>
        </x14:conditionalFormatting>
        <x14:conditionalFormatting xmlns:xm="http://schemas.microsoft.com/office/excel/2006/main">
          <x14:cfRule type="expression" priority="413" stopIfTrue="1" id="{3C404CB1-201E-4793-989E-3A8657557D4F}">
            <xm:f>AND(MONTH(DATE($G$1,5,ROW()-3))=5,COUNTIF(Feiertage!$A$2:$A$13,DATE($G$1,5,ROW()-3))&gt;0)</xm:f>
            <x14:dxf>
              <fill>
                <patternFill patternType="solid">
                  <fgColor rgb="FFDCE8C4"/>
                </patternFill>
              </fill>
            </x14:dxf>
          </x14:cfRule>
          <xm:sqref>E17</xm:sqref>
        </x14:conditionalFormatting>
        <x14:conditionalFormatting xmlns:xm="http://schemas.microsoft.com/office/excel/2006/main">
          <x14:cfRule type="expression" priority="416" stopIfTrue="1" id="{8FD4F987-6D1C-4C55-B4A9-7D84B1EAA2E2}">
            <xm:f>AND(MONTH(DATE($G$1,5,ROW()-3))=5,COUNTIF(Feiertage!$A$2:$A$13,DATE($G$1,5,ROW()-3))&gt;0)</xm:f>
            <x14:dxf>
              <fill>
                <patternFill patternType="solid">
                  <fgColor rgb="FFDCE8C4"/>
                </patternFill>
              </fill>
            </x14:dxf>
          </x14:cfRule>
          <xm:sqref>E18</xm:sqref>
        </x14:conditionalFormatting>
        <x14:conditionalFormatting xmlns:xm="http://schemas.microsoft.com/office/excel/2006/main">
          <x14:cfRule type="expression" priority="419" stopIfTrue="1" id="{337931AA-2DFA-4E42-A58F-578BD58ADD63}">
            <xm:f>AND(MONTH(DATE($G$1,5,ROW()-3))=5,COUNTIF(Feiertage!$A$2:$A$13,DATE($G$1,5,ROW()-3))&gt;0)</xm:f>
            <x14:dxf>
              <fill>
                <patternFill patternType="solid">
                  <fgColor rgb="FFDCE8C4"/>
                </patternFill>
              </fill>
            </x14:dxf>
          </x14:cfRule>
          <xm:sqref>E19</xm:sqref>
        </x14:conditionalFormatting>
        <x14:conditionalFormatting xmlns:xm="http://schemas.microsoft.com/office/excel/2006/main">
          <x14:cfRule type="expression" priority="422" stopIfTrue="1" id="{19AB7D6B-053A-49CC-9432-BEA43ED5DB9B}">
            <xm:f>AND(MONTH(DATE($G$1,5,ROW()-3))=5,COUNTIF(Feiertage!$A$2:$A$13,DATE($G$1,5,ROW()-3))&gt;0)</xm:f>
            <x14:dxf>
              <fill>
                <patternFill patternType="solid">
                  <fgColor rgb="FFDCE8C4"/>
                </patternFill>
              </fill>
            </x14:dxf>
          </x14:cfRule>
          <xm:sqref>E20</xm:sqref>
        </x14:conditionalFormatting>
        <x14:conditionalFormatting xmlns:xm="http://schemas.microsoft.com/office/excel/2006/main">
          <x14:cfRule type="expression" priority="425" stopIfTrue="1" id="{43D6602F-887F-43A1-BA20-34CD479B9797}">
            <xm:f>AND(MONTH(DATE($G$1,5,ROW()-3))=5,COUNTIF(Feiertage!$A$2:$A$13,DATE($G$1,5,ROW()-3))&gt;0)</xm:f>
            <x14:dxf>
              <fill>
                <patternFill patternType="solid">
                  <fgColor rgb="FFDCE8C4"/>
                </patternFill>
              </fill>
            </x14:dxf>
          </x14:cfRule>
          <xm:sqref>E21</xm:sqref>
        </x14:conditionalFormatting>
        <x14:conditionalFormatting xmlns:xm="http://schemas.microsoft.com/office/excel/2006/main">
          <x14:cfRule type="expression" priority="428" stopIfTrue="1" id="{101B4EE8-043A-4C4E-A421-FD24A94CCF5D}">
            <xm:f>AND(MONTH(DATE($G$1,5,ROW()-3))=5,COUNTIF(Feiertage!$A$2:$A$13,DATE($G$1,5,ROW()-3))&gt;0)</xm:f>
            <x14:dxf>
              <fill>
                <patternFill patternType="solid">
                  <fgColor rgb="FFDCE8C4"/>
                </patternFill>
              </fill>
            </x14:dxf>
          </x14:cfRule>
          <xm:sqref>E22</xm:sqref>
        </x14:conditionalFormatting>
        <x14:conditionalFormatting xmlns:xm="http://schemas.microsoft.com/office/excel/2006/main">
          <x14:cfRule type="expression" priority="431" stopIfTrue="1" id="{E218C619-8262-4287-9B94-6D78411CF46E}">
            <xm:f>AND(MONTH(DATE($G$1,5,ROW()-3))=5,COUNTIF(Feiertage!$A$2:$A$13,DATE($G$1,5,ROW()-3))&gt;0)</xm:f>
            <x14:dxf>
              <fill>
                <patternFill patternType="solid">
                  <fgColor rgb="FFDCE8C4"/>
                </patternFill>
              </fill>
            </x14:dxf>
          </x14:cfRule>
          <xm:sqref>E23</xm:sqref>
        </x14:conditionalFormatting>
        <x14:conditionalFormatting xmlns:xm="http://schemas.microsoft.com/office/excel/2006/main">
          <x14:cfRule type="expression" priority="434" stopIfTrue="1" id="{BBF9F7C5-C936-469A-A14D-724AE1FF354E}">
            <xm:f>AND(MONTH(DATE($G$1,5,ROW()-3))=5,COUNTIF(Feiertage!$A$2:$A$13,DATE($G$1,5,ROW()-3))&gt;0)</xm:f>
            <x14:dxf>
              <fill>
                <patternFill patternType="solid">
                  <fgColor rgb="FFDCE8C4"/>
                </patternFill>
              </fill>
            </x14:dxf>
          </x14:cfRule>
          <xm:sqref>E24</xm:sqref>
        </x14:conditionalFormatting>
        <x14:conditionalFormatting xmlns:xm="http://schemas.microsoft.com/office/excel/2006/main">
          <x14:cfRule type="expression" priority="437" stopIfTrue="1" id="{C0D13D91-65F6-4BB6-A534-40B0064A3950}">
            <xm:f>AND(MONTH(DATE($G$1,5,ROW()-3))=5,COUNTIF(Feiertage!$A$2:$A$13,DATE($G$1,5,ROW()-3))&gt;0)</xm:f>
            <x14:dxf>
              <fill>
                <patternFill patternType="solid">
                  <fgColor rgb="FFDCE8C4"/>
                </patternFill>
              </fill>
            </x14:dxf>
          </x14:cfRule>
          <xm:sqref>E25</xm:sqref>
        </x14:conditionalFormatting>
        <x14:conditionalFormatting xmlns:xm="http://schemas.microsoft.com/office/excel/2006/main">
          <x14:cfRule type="expression" priority="440" stopIfTrue="1" id="{F82A72E8-7460-40A0-83E3-3853314C241F}">
            <xm:f>AND(MONTH(DATE($G$1,5,ROW()-3))=5,COUNTIF(Feiertage!$A$2:$A$13,DATE($G$1,5,ROW()-3))&gt;0)</xm:f>
            <x14:dxf>
              <fill>
                <patternFill patternType="solid">
                  <fgColor rgb="FFDCE8C4"/>
                </patternFill>
              </fill>
            </x14:dxf>
          </x14:cfRule>
          <xm:sqref>E26</xm:sqref>
        </x14:conditionalFormatting>
        <x14:conditionalFormatting xmlns:xm="http://schemas.microsoft.com/office/excel/2006/main">
          <x14:cfRule type="expression" priority="443" stopIfTrue="1" id="{180A9E32-64A8-4764-98AD-D8626053DDD9}">
            <xm:f>AND(MONTH(DATE($G$1,5,ROW()-3))=5,COUNTIF(Feiertage!$A$2:$A$13,DATE($G$1,5,ROW()-3))&gt;0)</xm:f>
            <x14:dxf>
              <fill>
                <patternFill patternType="solid">
                  <fgColor rgb="FFDCE8C4"/>
                </patternFill>
              </fill>
            </x14:dxf>
          </x14:cfRule>
          <xm:sqref>E27</xm:sqref>
        </x14:conditionalFormatting>
        <x14:conditionalFormatting xmlns:xm="http://schemas.microsoft.com/office/excel/2006/main">
          <x14:cfRule type="expression" priority="446" stopIfTrue="1" id="{6EB5FF09-E0D7-4924-8311-000762920ED9}">
            <xm:f>AND(MONTH(DATE($G$1,5,ROW()-3))=5,COUNTIF(Feiertage!$A$2:$A$13,DATE($G$1,5,ROW()-3))&gt;0)</xm:f>
            <x14:dxf>
              <fill>
                <patternFill patternType="solid">
                  <fgColor rgb="FFDCE8C4"/>
                </patternFill>
              </fill>
            </x14:dxf>
          </x14:cfRule>
          <xm:sqref>E28</xm:sqref>
        </x14:conditionalFormatting>
        <x14:conditionalFormatting xmlns:xm="http://schemas.microsoft.com/office/excel/2006/main">
          <x14:cfRule type="expression" priority="449" stopIfTrue="1" id="{63CCDA42-ACF3-4586-833B-DAEE8EC5C932}">
            <xm:f>AND(MONTH(DATE($G$1,5,ROW()-3))=5,COUNTIF(Feiertage!$A$2:$A$13,DATE($G$1,5,ROW()-3))&gt;0)</xm:f>
            <x14:dxf>
              <fill>
                <patternFill patternType="solid">
                  <fgColor rgb="FFDCE8C4"/>
                </patternFill>
              </fill>
            </x14:dxf>
          </x14:cfRule>
          <xm:sqref>E29</xm:sqref>
        </x14:conditionalFormatting>
        <x14:conditionalFormatting xmlns:xm="http://schemas.microsoft.com/office/excel/2006/main">
          <x14:cfRule type="expression" priority="452" stopIfTrue="1" id="{57387EA7-A5CA-4285-9520-A9B224017854}">
            <xm:f>AND(MONTH(DATE($G$1,5,ROW()-3))=5,COUNTIF(Feiertage!$A$2:$A$13,DATE($G$1,5,ROW()-3))&gt;0)</xm:f>
            <x14:dxf>
              <fill>
                <patternFill patternType="solid">
                  <fgColor rgb="FFDCE8C4"/>
                </patternFill>
              </fill>
            </x14:dxf>
          </x14:cfRule>
          <xm:sqref>E30</xm:sqref>
        </x14:conditionalFormatting>
        <x14:conditionalFormatting xmlns:xm="http://schemas.microsoft.com/office/excel/2006/main">
          <x14:cfRule type="expression" priority="455" stopIfTrue="1" id="{5FADA35C-B3C6-4956-97B8-F56B8B793D2E}">
            <xm:f>AND(MONTH(DATE($G$1,5,ROW()-3))=5,COUNTIF(Feiertage!$A$2:$A$13,DATE($G$1,5,ROW()-3))&gt;0)</xm:f>
            <x14:dxf>
              <fill>
                <patternFill patternType="solid">
                  <fgColor rgb="FFDCE8C4"/>
                </patternFill>
              </fill>
            </x14:dxf>
          </x14:cfRule>
          <xm:sqref>E31</xm:sqref>
        </x14:conditionalFormatting>
        <x14:conditionalFormatting xmlns:xm="http://schemas.microsoft.com/office/excel/2006/main">
          <x14:cfRule type="expression" priority="458" stopIfTrue="1" id="{6532B355-4155-44B3-B004-615DD2244330}">
            <xm:f>AND(MONTH(DATE($G$1,5,ROW()-3))=5,COUNTIF(Feiertage!$A$2:$A$13,DATE($G$1,5,ROW()-3))&gt;0)</xm:f>
            <x14:dxf>
              <fill>
                <patternFill patternType="solid">
                  <fgColor rgb="FFDCE8C4"/>
                </patternFill>
              </fill>
            </x14:dxf>
          </x14:cfRule>
          <xm:sqref>E32</xm:sqref>
        </x14:conditionalFormatting>
        <x14:conditionalFormatting xmlns:xm="http://schemas.microsoft.com/office/excel/2006/main">
          <x14:cfRule type="expression" priority="461" stopIfTrue="1" id="{71FEF30A-0E1C-466B-B64D-751847A709D5}">
            <xm:f>AND(MONTH(DATE($G$1,5,ROW()-3))=5,COUNTIF(Feiertage!$A$2:$A$13,DATE($G$1,5,ROW()-3))&gt;0)</xm:f>
            <x14:dxf>
              <fill>
                <patternFill patternType="solid">
                  <fgColor rgb="FFDCE8C4"/>
                </patternFill>
              </fill>
            </x14:dxf>
          </x14:cfRule>
          <xm:sqref>E33</xm:sqref>
        </x14:conditionalFormatting>
        <x14:conditionalFormatting xmlns:xm="http://schemas.microsoft.com/office/excel/2006/main">
          <x14:cfRule type="expression" priority="464" stopIfTrue="1" id="{85A422B9-5127-41C6-9044-096764CA71B6}">
            <xm:f>AND(MONTH(DATE($G$1,5,ROW()-3))=5,COUNTIF(Feiertage!$A$2:$A$13,DATE($G$1,5,ROW()-3))&gt;0)</xm:f>
            <x14:dxf>
              <fill>
                <patternFill patternType="solid">
                  <fgColor rgb="FFDCE8C4"/>
                </patternFill>
              </fill>
            </x14:dxf>
          </x14:cfRule>
          <xm:sqref>E34</xm:sqref>
        </x14:conditionalFormatting>
        <x14:conditionalFormatting xmlns:xm="http://schemas.microsoft.com/office/excel/2006/main">
          <x14:cfRule type="expression" priority="467" stopIfTrue="1" id="{B18DE4B7-F540-472A-A579-4CDB0D46CE31}">
            <xm:f>AND(MONTH(DATE($G$1,6,ROW()-3))=6,COUNTIF(Feiertage!$A$2:$A$13,DATE($G$1,6,ROW()-3))&gt;0)</xm:f>
            <x14:dxf>
              <fill>
                <patternFill patternType="solid">
                  <fgColor rgb="FFDCE8C4"/>
                </patternFill>
              </fill>
            </x14:dxf>
          </x14:cfRule>
          <xm:sqref>F4</xm:sqref>
        </x14:conditionalFormatting>
        <x14:conditionalFormatting xmlns:xm="http://schemas.microsoft.com/office/excel/2006/main">
          <x14:cfRule type="expression" priority="470" stopIfTrue="1" id="{69B7E91D-2504-4577-BBCC-BE3673D35CAA}">
            <xm:f>AND(MONTH(DATE($G$1,6,ROW()-3))=6,COUNTIF(Feiertage!$A$2:$A$13,DATE($G$1,6,ROW()-3))&gt;0)</xm:f>
            <x14:dxf>
              <fill>
                <patternFill patternType="solid">
                  <fgColor rgb="FFDCE8C4"/>
                </patternFill>
              </fill>
            </x14:dxf>
          </x14:cfRule>
          <xm:sqref>F5</xm:sqref>
        </x14:conditionalFormatting>
        <x14:conditionalFormatting xmlns:xm="http://schemas.microsoft.com/office/excel/2006/main">
          <x14:cfRule type="expression" priority="473" stopIfTrue="1" id="{C566CB8C-7F70-448D-A39F-7CE45E97428F}">
            <xm:f>AND(MONTH(DATE($G$1,6,ROW()-3))=6,COUNTIF(Feiertage!$A$2:$A$13,DATE($G$1,6,ROW()-3))&gt;0)</xm:f>
            <x14:dxf>
              <fill>
                <patternFill patternType="solid">
                  <fgColor rgb="FFDCE8C4"/>
                </patternFill>
              </fill>
            </x14:dxf>
          </x14:cfRule>
          <xm:sqref>F6</xm:sqref>
        </x14:conditionalFormatting>
        <x14:conditionalFormatting xmlns:xm="http://schemas.microsoft.com/office/excel/2006/main">
          <x14:cfRule type="expression" priority="476" stopIfTrue="1" id="{08B2C0BE-F213-4B67-B80E-98C7C95275AE}">
            <xm:f>AND(MONTH(DATE($G$1,6,ROW()-3))=6,COUNTIF(Feiertage!$A$2:$A$13,DATE($G$1,6,ROW()-3))&gt;0)</xm:f>
            <x14:dxf>
              <fill>
                <patternFill patternType="solid">
                  <fgColor rgb="FFDCE8C4"/>
                </patternFill>
              </fill>
            </x14:dxf>
          </x14:cfRule>
          <xm:sqref>F7</xm:sqref>
        </x14:conditionalFormatting>
        <x14:conditionalFormatting xmlns:xm="http://schemas.microsoft.com/office/excel/2006/main">
          <x14:cfRule type="expression" priority="479" stopIfTrue="1" id="{082B0A05-D871-486D-A014-EB1B1DDD450E}">
            <xm:f>AND(MONTH(DATE($G$1,6,ROW()-3))=6,COUNTIF(Feiertage!$A$2:$A$13,DATE($G$1,6,ROW()-3))&gt;0)</xm:f>
            <x14:dxf>
              <fill>
                <patternFill patternType="solid">
                  <fgColor rgb="FFDCE8C4"/>
                </patternFill>
              </fill>
            </x14:dxf>
          </x14:cfRule>
          <xm:sqref>F8</xm:sqref>
        </x14:conditionalFormatting>
        <x14:conditionalFormatting xmlns:xm="http://schemas.microsoft.com/office/excel/2006/main">
          <x14:cfRule type="expression" priority="482" stopIfTrue="1" id="{01505B5F-AE47-497A-9280-9D194B81DE95}">
            <xm:f>AND(MONTH(DATE($G$1,6,ROW()-3))=6,COUNTIF(Feiertage!$A$2:$A$13,DATE($G$1,6,ROW()-3))&gt;0)</xm:f>
            <x14:dxf>
              <fill>
                <patternFill patternType="solid">
                  <fgColor rgb="FFDCE8C4"/>
                </patternFill>
              </fill>
            </x14:dxf>
          </x14:cfRule>
          <xm:sqref>F9</xm:sqref>
        </x14:conditionalFormatting>
        <x14:conditionalFormatting xmlns:xm="http://schemas.microsoft.com/office/excel/2006/main">
          <x14:cfRule type="expression" priority="485" stopIfTrue="1" id="{6E5AFE55-547A-4BD2-A35C-5A7537DB2254}">
            <xm:f>AND(MONTH(DATE($G$1,6,ROW()-3))=6,COUNTIF(Feiertage!$A$2:$A$13,DATE($G$1,6,ROW()-3))&gt;0)</xm:f>
            <x14:dxf>
              <fill>
                <patternFill patternType="solid">
                  <fgColor rgb="FFDCE8C4"/>
                </patternFill>
              </fill>
            </x14:dxf>
          </x14:cfRule>
          <xm:sqref>F10</xm:sqref>
        </x14:conditionalFormatting>
        <x14:conditionalFormatting xmlns:xm="http://schemas.microsoft.com/office/excel/2006/main">
          <x14:cfRule type="expression" priority="488" stopIfTrue="1" id="{311DC865-CB5D-450B-AB37-AA1FCEAF8A0F}">
            <xm:f>AND(MONTH(DATE($G$1,6,ROW()-3))=6,COUNTIF(Feiertage!$A$2:$A$13,DATE($G$1,6,ROW()-3))&gt;0)</xm:f>
            <x14:dxf>
              <fill>
                <patternFill patternType="solid">
                  <fgColor rgb="FFDCE8C4"/>
                </patternFill>
              </fill>
            </x14:dxf>
          </x14:cfRule>
          <xm:sqref>F11</xm:sqref>
        </x14:conditionalFormatting>
        <x14:conditionalFormatting xmlns:xm="http://schemas.microsoft.com/office/excel/2006/main">
          <x14:cfRule type="expression" priority="491" stopIfTrue="1" id="{6E210204-F481-4F72-A2DA-BD1CF090359D}">
            <xm:f>AND(MONTH(DATE($G$1,6,ROW()-3))=6,COUNTIF(Feiertage!$A$2:$A$13,DATE($G$1,6,ROW()-3))&gt;0)</xm:f>
            <x14:dxf>
              <fill>
                <patternFill patternType="solid">
                  <fgColor rgb="FFDCE8C4"/>
                </patternFill>
              </fill>
            </x14:dxf>
          </x14:cfRule>
          <xm:sqref>F12</xm:sqref>
        </x14:conditionalFormatting>
        <x14:conditionalFormatting xmlns:xm="http://schemas.microsoft.com/office/excel/2006/main">
          <x14:cfRule type="expression" priority="494" stopIfTrue="1" id="{6A27ED99-9E2D-4CEE-B607-BC58D534B7B0}">
            <xm:f>AND(MONTH(DATE($G$1,6,ROW()-3))=6,COUNTIF(Feiertage!$A$2:$A$13,DATE($G$1,6,ROW()-3))&gt;0)</xm:f>
            <x14:dxf>
              <fill>
                <patternFill patternType="solid">
                  <fgColor rgb="FFDCE8C4"/>
                </patternFill>
              </fill>
            </x14:dxf>
          </x14:cfRule>
          <xm:sqref>F13</xm:sqref>
        </x14:conditionalFormatting>
        <x14:conditionalFormatting xmlns:xm="http://schemas.microsoft.com/office/excel/2006/main">
          <x14:cfRule type="expression" priority="497" stopIfTrue="1" id="{D93A500D-E11B-4486-8E1D-BA97A6F7D70B}">
            <xm:f>AND(MONTH(DATE($G$1,6,ROW()-3))=6,COUNTIF(Feiertage!$A$2:$A$13,DATE($G$1,6,ROW()-3))&gt;0)</xm:f>
            <x14:dxf>
              <fill>
                <patternFill patternType="solid">
                  <fgColor rgb="FFDCE8C4"/>
                </patternFill>
              </fill>
            </x14:dxf>
          </x14:cfRule>
          <xm:sqref>F14</xm:sqref>
        </x14:conditionalFormatting>
        <x14:conditionalFormatting xmlns:xm="http://schemas.microsoft.com/office/excel/2006/main">
          <x14:cfRule type="expression" priority="500" stopIfTrue="1" id="{F00FCA6D-D548-40AC-94DE-754029D85DA7}">
            <xm:f>AND(MONTH(DATE($G$1,6,ROW()-3))=6,COUNTIF(Feiertage!$A$2:$A$13,DATE($G$1,6,ROW()-3))&gt;0)</xm:f>
            <x14:dxf>
              <fill>
                <patternFill patternType="solid">
                  <fgColor rgb="FFDCE8C4"/>
                </patternFill>
              </fill>
            </x14:dxf>
          </x14:cfRule>
          <xm:sqref>F15</xm:sqref>
        </x14:conditionalFormatting>
        <x14:conditionalFormatting xmlns:xm="http://schemas.microsoft.com/office/excel/2006/main">
          <x14:cfRule type="expression" priority="503" stopIfTrue="1" id="{701303F6-C8BD-4AFC-B8E7-52AE8BFDAA21}">
            <xm:f>AND(MONTH(DATE($G$1,6,ROW()-3))=6,COUNTIF(Feiertage!$A$2:$A$13,DATE($G$1,6,ROW()-3))&gt;0)</xm:f>
            <x14:dxf>
              <fill>
                <patternFill patternType="solid">
                  <fgColor rgb="FFDCE8C4"/>
                </patternFill>
              </fill>
            </x14:dxf>
          </x14:cfRule>
          <xm:sqref>F16</xm:sqref>
        </x14:conditionalFormatting>
        <x14:conditionalFormatting xmlns:xm="http://schemas.microsoft.com/office/excel/2006/main">
          <x14:cfRule type="expression" priority="506" stopIfTrue="1" id="{506D5D97-CE68-4C6F-BC14-C89489FEE3DE}">
            <xm:f>AND(MONTH(DATE($G$1,6,ROW()-3))=6,COUNTIF(Feiertage!$A$2:$A$13,DATE($G$1,6,ROW()-3))&gt;0)</xm:f>
            <x14:dxf>
              <fill>
                <patternFill patternType="solid">
                  <fgColor rgb="FFDCE8C4"/>
                </patternFill>
              </fill>
            </x14:dxf>
          </x14:cfRule>
          <xm:sqref>F17</xm:sqref>
        </x14:conditionalFormatting>
        <x14:conditionalFormatting xmlns:xm="http://schemas.microsoft.com/office/excel/2006/main">
          <x14:cfRule type="expression" priority="509" stopIfTrue="1" id="{164EA4B5-B867-4819-AFC7-B9A4155F44AB}">
            <xm:f>AND(MONTH(DATE($G$1,6,ROW()-3))=6,COUNTIF(Feiertage!$A$2:$A$13,DATE($G$1,6,ROW()-3))&gt;0)</xm:f>
            <x14:dxf>
              <fill>
                <patternFill patternType="solid">
                  <fgColor rgb="FFDCE8C4"/>
                </patternFill>
              </fill>
            </x14:dxf>
          </x14:cfRule>
          <xm:sqref>F18</xm:sqref>
        </x14:conditionalFormatting>
        <x14:conditionalFormatting xmlns:xm="http://schemas.microsoft.com/office/excel/2006/main">
          <x14:cfRule type="expression" priority="512" stopIfTrue="1" id="{7BCF9CFB-9B8C-4F2F-A8D1-C1CBE2C24BF8}">
            <xm:f>AND(MONTH(DATE($G$1,6,ROW()-3))=6,COUNTIF(Feiertage!$A$2:$A$13,DATE($G$1,6,ROW()-3))&gt;0)</xm:f>
            <x14:dxf>
              <fill>
                <patternFill patternType="solid">
                  <fgColor rgb="FFDCE8C4"/>
                </patternFill>
              </fill>
            </x14:dxf>
          </x14:cfRule>
          <xm:sqref>F19</xm:sqref>
        </x14:conditionalFormatting>
        <x14:conditionalFormatting xmlns:xm="http://schemas.microsoft.com/office/excel/2006/main">
          <x14:cfRule type="expression" priority="515" stopIfTrue="1" id="{EC1D56BD-F2D9-4C13-9FA1-67B2F4339CBD}">
            <xm:f>AND(MONTH(DATE($G$1,6,ROW()-3))=6,COUNTIF(Feiertage!$A$2:$A$13,DATE($G$1,6,ROW()-3))&gt;0)</xm:f>
            <x14:dxf>
              <fill>
                <patternFill patternType="solid">
                  <fgColor rgb="FFDCE8C4"/>
                </patternFill>
              </fill>
            </x14:dxf>
          </x14:cfRule>
          <xm:sqref>F20</xm:sqref>
        </x14:conditionalFormatting>
        <x14:conditionalFormatting xmlns:xm="http://schemas.microsoft.com/office/excel/2006/main">
          <x14:cfRule type="expression" priority="518" stopIfTrue="1" id="{CD12ACE5-AFF5-4134-A47A-F9DDB30E363F}">
            <xm:f>AND(MONTH(DATE($G$1,6,ROW()-3))=6,COUNTIF(Feiertage!$A$2:$A$13,DATE($G$1,6,ROW()-3))&gt;0)</xm:f>
            <x14:dxf>
              <fill>
                <patternFill patternType="solid">
                  <fgColor rgb="FFDCE8C4"/>
                </patternFill>
              </fill>
            </x14:dxf>
          </x14:cfRule>
          <xm:sqref>F21</xm:sqref>
        </x14:conditionalFormatting>
        <x14:conditionalFormatting xmlns:xm="http://schemas.microsoft.com/office/excel/2006/main">
          <x14:cfRule type="expression" priority="521" stopIfTrue="1" id="{616E75E2-7BD6-466B-A434-90A4A440CCC8}">
            <xm:f>AND(MONTH(DATE($G$1,6,ROW()-3))=6,COUNTIF(Feiertage!$A$2:$A$13,DATE($G$1,6,ROW()-3))&gt;0)</xm:f>
            <x14:dxf>
              <fill>
                <patternFill patternType="solid">
                  <fgColor rgb="FFDCE8C4"/>
                </patternFill>
              </fill>
            </x14:dxf>
          </x14:cfRule>
          <xm:sqref>F22</xm:sqref>
        </x14:conditionalFormatting>
        <x14:conditionalFormatting xmlns:xm="http://schemas.microsoft.com/office/excel/2006/main">
          <x14:cfRule type="expression" priority="524" stopIfTrue="1" id="{3C7215EB-40AD-4F63-B898-9C917BD9BEE8}">
            <xm:f>AND(MONTH(DATE($G$1,6,ROW()-3))=6,COUNTIF(Feiertage!$A$2:$A$13,DATE($G$1,6,ROW()-3))&gt;0)</xm:f>
            <x14:dxf>
              <fill>
                <patternFill patternType="solid">
                  <fgColor rgb="FFDCE8C4"/>
                </patternFill>
              </fill>
            </x14:dxf>
          </x14:cfRule>
          <xm:sqref>F23</xm:sqref>
        </x14:conditionalFormatting>
        <x14:conditionalFormatting xmlns:xm="http://schemas.microsoft.com/office/excel/2006/main">
          <x14:cfRule type="expression" priority="527" stopIfTrue="1" id="{C729E088-5934-45CD-A491-6D186634CEDD}">
            <xm:f>AND(MONTH(DATE($G$1,6,ROW()-3))=6,COUNTIF(Feiertage!$A$2:$A$13,DATE($G$1,6,ROW()-3))&gt;0)</xm:f>
            <x14:dxf>
              <fill>
                <patternFill patternType="solid">
                  <fgColor rgb="FFDCE8C4"/>
                </patternFill>
              </fill>
            </x14:dxf>
          </x14:cfRule>
          <xm:sqref>F24</xm:sqref>
        </x14:conditionalFormatting>
        <x14:conditionalFormatting xmlns:xm="http://schemas.microsoft.com/office/excel/2006/main">
          <x14:cfRule type="expression" priority="530" stopIfTrue="1" id="{ABF99203-42A8-4517-A863-B1C887DAD11E}">
            <xm:f>AND(MONTH(DATE($G$1,6,ROW()-3))=6,COUNTIF(Feiertage!$A$2:$A$13,DATE($G$1,6,ROW()-3))&gt;0)</xm:f>
            <x14:dxf>
              <fill>
                <patternFill patternType="solid">
                  <fgColor rgb="FFDCE8C4"/>
                </patternFill>
              </fill>
            </x14:dxf>
          </x14:cfRule>
          <xm:sqref>F25</xm:sqref>
        </x14:conditionalFormatting>
        <x14:conditionalFormatting xmlns:xm="http://schemas.microsoft.com/office/excel/2006/main">
          <x14:cfRule type="expression" priority="533" stopIfTrue="1" id="{D738DEE7-4F91-4DB4-8A02-5D4650B2539F}">
            <xm:f>AND(MONTH(DATE($G$1,6,ROW()-3))=6,COUNTIF(Feiertage!$A$2:$A$13,DATE($G$1,6,ROW()-3))&gt;0)</xm:f>
            <x14:dxf>
              <fill>
                <patternFill patternType="solid">
                  <fgColor rgb="FFDCE8C4"/>
                </patternFill>
              </fill>
            </x14:dxf>
          </x14:cfRule>
          <xm:sqref>F26</xm:sqref>
        </x14:conditionalFormatting>
        <x14:conditionalFormatting xmlns:xm="http://schemas.microsoft.com/office/excel/2006/main">
          <x14:cfRule type="expression" priority="536" stopIfTrue="1" id="{B0225104-6480-4BA5-8B1B-A493D0DB5B0A}">
            <xm:f>AND(MONTH(DATE($G$1,6,ROW()-3))=6,COUNTIF(Feiertage!$A$2:$A$13,DATE($G$1,6,ROW()-3))&gt;0)</xm:f>
            <x14:dxf>
              <fill>
                <patternFill patternType="solid">
                  <fgColor rgb="FFDCE8C4"/>
                </patternFill>
              </fill>
            </x14:dxf>
          </x14:cfRule>
          <xm:sqref>F27</xm:sqref>
        </x14:conditionalFormatting>
        <x14:conditionalFormatting xmlns:xm="http://schemas.microsoft.com/office/excel/2006/main">
          <x14:cfRule type="expression" priority="539" stopIfTrue="1" id="{A1F5CDC0-06A5-4871-A34C-D9A57389559D}">
            <xm:f>AND(MONTH(DATE($G$1,6,ROW()-3))=6,COUNTIF(Feiertage!$A$2:$A$13,DATE($G$1,6,ROW()-3))&gt;0)</xm:f>
            <x14:dxf>
              <fill>
                <patternFill patternType="solid">
                  <fgColor rgb="FFDCE8C4"/>
                </patternFill>
              </fill>
            </x14:dxf>
          </x14:cfRule>
          <xm:sqref>F28</xm:sqref>
        </x14:conditionalFormatting>
        <x14:conditionalFormatting xmlns:xm="http://schemas.microsoft.com/office/excel/2006/main">
          <x14:cfRule type="expression" priority="542" stopIfTrue="1" id="{63463A4B-175C-4A3E-944B-6E52F321BD1D}">
            <xm:f>AND(MONTH(DATE($G$1,6,ROW()-3))=6,COUNTIF(Feiertage!$A$2:$A$13,DATE($G$1,6,ROW()-3))&gt;0)</xm:f>
            <x14:dxf>
              <fill>
                <patternFill patternType="solid">
                  <fgColor rgb="FFDCE8C4"/>
                </patternFill>
              </fill>
            </x14:dxf>
          </x14:cfRule>
          <xm:sqref>F29</xm:sqref>
        </x14:conditionalFormatting>
        <x14:conditionalFormatting xmlns:xm="http://schemas.microsoft.com/office/excel/2006/main">
          <x14:cfRule type="expression" priority="545" stopIfTrue="1" id="{6BF469ED-B160-491B-9F92-E976770598E1}">
            <xm:f>AND(MONTH(DATE($G$1,6,ROW()-3))=6,COUNTIF(Feiertage!$A$2:$A$13,DATE($G$1,6,ROW()-3))&gt;0)</xm:f>
            <x14:dxf>
              <fill>
                <patternFill patternType="solid">
                  <fgColor rgb="FFDCE8C4"/>
                </patternFill>
              </fill>
            </x14:dxf>
          </x14:cfRule>
          <xm:sqref>F30</xm:sqref>
        </x14:conditionalFormatting>
        <x14:conditionalFormatting xmlns:xm="http://schemas.microsoft.com/office/excel/2006/main">
          <x14:cfRule type="expression" priority="548" stopIfTrue="1" id="{457FD8BE-991D-418A-94E8-9012B99D1B27}">
            <xm:f>AND(MONTH(DATE($G$1,6,ROW()-3))=6,COUNTIF(Feiertage!$A$2:$A$13,DATE($G$1,6,ROW()-3))&gt;0)</xm:f>
            <x14:dxf>
              <fill>
                <patternFill patternType="solid">
                  <fgColor rgb="FFDCE8C4"/>
                </patternFill>
              </fill>
            </x14:dxf>
          </x14:cfRule>
          <xm:sqref>F31</xm:sqref>
        </x14:conditionalFormatting>
        <x14:conditionalFormatting xmlns:xm="http://schemas.microsoft.com/office/excel/2006/main">
          <x14:cfRule type="expression" priority="551" stopIfTrue="1" id="{C9795ABA-74CF-4FEC-805C-3EBDDE3937ED}">
            <xm:f>AND(MONTH(DATE($G$1,6,ROW()-3))=6,COUNTIF(Feiertage!$A$2:$A$13,DATE($G$1,6,ROW()-3))&gt;0)</xm:f>
            <x14:dxf>
              <fill>
                <patternFill patternType="solid">
                  <fgColor rgb="FFDCE8C4"/>
                </patternFill>
              </fill>
            </x14:dxf>
          </x14:cfRule>
          <xm:sqref>F32</xm:sqref>
        </x14:conditionalFormatting>
        <x14:conditionalFormatting xmlns:xm="http://schemas.microsoft.com/office/excel/2006/main">
          <x14:cfRule type="expression" priority="554" stopIfTrue="1" id="{3792759E-E4B6-40F7-A1AB-1B831A26438A}">
            <xm:f>AND(MONTH(DATE($G$1,6,ROW()-3))=6,COUNTIF(Feiertage!$A$2:$A$13,DATE($G$1,6,ROW()-3))&gt;0)</xm:f>
            <x14:dxf>
              <fill>
                <patternFill patternType="solid">
                  <fgColor rgb="FFDCE8C4"/>
                </patternFill>
              </fill>
            </x14:dxf>
          </x14:cfRule>
          <xm:sqref>F33</xm:sqref>
        </x14:conditionalFormatting>
        <x14:conditionalFormatting xmlns:xm="http://schemas.microsoft.com/office/excel/2006/main">
          <x14:cfRule type="expression" priority="557" stopIfTrue="1" id="{D647B6DA-4D13-4B23-ACA1-CC35D1B55487}">
            <xm:f>AND(MONTH(DATE($G$1,6,ROW()-3))=6,COUNTIF(Feiertage!$A$2:$A$13,DATE($G$1,6,ROW()-3))&gt;0)</xm:f>
            <x14:dxf>
              <fill>
                <patternFill patternType="solid">
                  <fgColor rgb="FFDCE8C4"/>
                </patternFill>
              </fill>
            </x14:dxf>
          </x14:cfRule>
          <xm:sqref>F34</xm:sqref>
        </x14:conditionalFormatting>
        <x14:conditionalFormatting xmlns:xm="http://schemas.microsoft.com/office/excel/2006/main">
          <x14:cfRule type="expression" priority="560" stopIfTrue="1" id="{5E96E6C9-BB02-492E-8D5B-202F1D7178C7}">
            <xm:f>AND(MONTH(DATE($G$1,7,ROW()-40))=7,COUNTIF(Feiertage!$A$2:$A$13,DATE($G$1,7,ROW()-40))&gt;0)</xm:f>
            <x14:dxf>
              <fill>
                <patternFill patternType="solid">
                  <fgColor rgb="FFDCE8C4"/>
                </patternFill>
              </fill>
            </x14:dxf>
          </x14:cfRule>
          <xm:sqref>A41</xm:sqref>
        </x14:conditionalFormatting>
        <x14:conditionalFormatting xmlns:xm="http://schemas.microsoft.com/office/excel/2006/main">
          <x14:cfRule type="expression" priority="563" stopIfTrue="1" id="{988568F2-187B-4121-BD02-69BB1283A1AC}">
            <xm:f>AND(MONTH(DATE($G$1,7,ROW()-40))=7,COUNTIF(Feiertage!$A$2:$A$13,DATE($G$1,7,ROW()-40))&gt;0)</xm:f>
            <x14:dxf>
              <fill>
                <patternFill patternType="solid">
                  <fgColor rgb="FFDCE8C4"/>
                </patternFill>
              </fill>
            </x14:dxf>
          </x14:cfRule>
          <xm:sqref>A42</xm:sqref>
        </x14:conditionalFormatting>
        <x14:conditionalFormatting xmlns:xm="http://schemas.microsoft.com/office/excel/2006/main">
          <x14:cfRule type="expression" priority="566" stopIfTrue="1" id="{6383B3AB-9E68-4647-90F9-DE5C906D49D3}">
            <xm:f>AND(MONTH(DATE($G$1,7,ROW()-40))=7,COUNTIF(Feiertage!$A$2:$A$13,DATE($G$1,7,ROW()-40))&gt;0)</xm:f>
            <x14:dxf>
              <fill>
                <patternFill patternType="solid">
                  <fgColor rgb="FFDCE8C4"/>
                </patternFill>
              </fill>
            </x14:dxf>
          </x14:cfRule>
          <xm:sqref>A43</xm:sqref>
        </x14:conditionalFormatting>
        <x14:conditionalFormatting xmlns:xm="http://schemas.microsoft.com/office/excel/2006/main">
          <x14:cfRule type="expression" priority="569" stopIfTrue="1" id="{EB71DC31-D37D-4357-8CC1-955883EFB6FF}">
            <xm:f>AND(MONTH(DATE($G$1,7,ROW()-40))=7,COUNTIF(Feiertage!$A$2:$A$13,DATE($G$1,7,ROW()-40))&gt;0)</xm:f>
            <x14:dxf>
              <fill>
                <patternFill patternType="solid">
                  <fgColor rgb="FFDCE8C4"/>
                </patternFill>
              </fill>
            </x14:dxf>
          </x14:cfRule>
          <xm:sqref>A44</xm:sqref>
        </x14:conditionalFormatting>
        <x14:conditionalFormatting xmlns:xm="http://schemas.microsoft.com/office/excel/2006/main">
          <x14:cfRule type="expression" priority="572" stopIfTrue="1" id="{566272AB-0BCA-4D3C-AF9F-8AE13BA69688}">
            <xm:f>AND(MONTH(DATE($G$1,7,ROW()-40))=7,COUNTIF(Feiertage!$A$2:$A$13,DATE($G$1,7,ROW()-40))&gt;0)</xm:f>
            <x14:dxf>
              <fill>
                <patternFill patternType="solid">
                  <fgColor rgb="FFDCE8C4"/>
                </patternFill>
              </fill>
            </x14:dxf>
          </x14:cfRule>
          <xm:sqref>A45</xm:sqref>
        </x14:conditionalFormatting>
        <x14:conditionalFormatting xmlns:xm="http://schemas.microsoft.com/office/excel/2006/main">
          <x14:cfRule type="expression" priority="575" stopIfTrue="1" id="{30D8DB09-426F-4D9E-BF95-1F283239821D}">
            <xm:f>AND(MONTH(DATE($G$1,7,ROW()-40))=7,COUNTIF(Feiertage!$A$2:$A$13,DATE($G$1,7,ROW()-40))&gt;0)</xm:f>
            <x14:dxf>
              <fill>
                <patternFill patternType="solid">
                  <fgColor rgb="FFDCE8C4"/>
                </patternFill>
              </fill>
            </x14:dxf>
          </x14:cfRule>
          <xm:sqref>A46</xm:sqref>
        </x14:conditionalFormatting>
        <x14:conditionalFormatting xmlns:xm="http://schemas.microsoft.com/office/excel/2006/main">
          <x14:cfRule type="expression" priority="578" stopIfTrue="1" id="{DB50FB30-602B-4165-B7CA-B40EB5D70419}">
            <xm:f>AND(MONTH(DATE($G$1,7,ROW()-40))=7,COUNTIF(Feiertage!$A$2:$A$13,DATE($G$1,7,ROW()-40))&gt;0)</xm:f>
            <x14:dxf>
              <fill>
                <patternFill patternType="solid">
                  <fgColor rgb="FFDCE8C4"/>
                </patternFill>
              </fill>
            </x14:dxf>
          </x14:cfRule>
          <xm:sqref>A47</xm:sqref>
        </x14:conditionalFormatting>
        <x14:conditionalFormatting xmlns:xm="http://schemas.microsoft.com/office/excel/2006/main">
          <x14:cfRule type="expression" priority="581" stopIfTrue="1" id="{1AF6529F-A19B-4DAE-B78A-5EDEF06CEEDB}">
            <xm:f>AND(MONTH(DATE($G$1,7,ROW()-40))=7,COUNTIF(Feiertage!$A$2:$A$13,DATE($G$1,7,ROW()-40))&gt;0)</xm:f>
            <x14:dxf>
              <fill>
                <patternFill patternType="solid">
                  <fgColor rgb="FFDCE8C4"/>
                </patternFill>
              </fill>
            </x14:dxf>
          </x14:cfRule>
          <xm:sqref>A48</xm:sqref>
        </x14:conditionalFormatting>
        <x14:conditionalFormatting xmlns:xm="http://schemas.microsoft.com/office/excel/2006/main">
          <x14:cfRule type="expression" priority="584" stopIfTrue="1" id="{9309CF58-3085-4287-A187-F5FB3F91B46A}">
            <xm:f>AND(MONTH(DATE($G$1,7,ROW()-40))=7,COUNTIF(Feiertage!$A$2:$A$13,DATE($G$1,7,ROW()-40))&gt;0)</xm:f>
            <x14:dxf>
              <fill>
                <patternFill patternType="solid">
                  <fgColor rgb="FFDCE8C4"/>
                </patternFill>
              </fill>
            </x14:dxf>
          </x14:cfRule>
          <xm:sqref>A49</xm:sqref>
        </x14:conditionalFormatting>
        <x14:conditionalFormatting xmlns:xm="http://schemas.microsoft.com/office/excel/2006/main">
          <x14:cfRule type="expression" priority="587" stopIfTrue="1" id="{AEB7552B-E70F-4FCD-BA85-FBBBCA0D86C0}">
            <xm:f>AND(MONTH(DATE($G$1,7,ROW()-40))=7,COUNTIF(Feiertage!$A$2:$A$13,DATE($G$1,7,ROW()-40))&gt;0)</xm:f>
            <x14:dxf>
              <fill>
                <patternFill patternType="solid">
                  <fgColor rgb="FFDCE8C4"/>
                </patternFill>
              </fill>
            </x14:dxf>
          </x14:cfRule>
          <xm:sqref>A50</xm:sqref>
        </x14:conditionalFormatting>
        <x14:conditionalFormatting xmlns:xm="http://schemas.microsoft.com/office/excel/2006/main">
          <x14:cfRule type="expression" priority="590" stopIfTrue="1" id="{CEF4A8C5-387C-4FB8-A9FB-86337C43A001}">
            <xm:f>AND(MONTH(DATE($G$1,7,ROW()-40))=7,COUNTIF(Feiertage!$A$2:$A$13,DATE($G$1,7,ROW()-40))&gt;0)</xm:f>
            <x14:dxf>
              <fill>
                <patternFill patternType="solid">
                  <fgColor rgb="FFDCE8C4"/>
                </patternFill>
              </fill>
            </x14:dxf>
          </x14:cfRule>
          <xm:sqref>A51</xm:sqref>
        </x14:conditionalFormatting>
        <x14:conditionalFormatting xmlns:xm="http://schemas.microsoft.com/office/excel/2006/main">
          <x14:cfRule type="expression" priority="593" stopIfTrue="1" id="{069E317B-2CBA-4028-BA21-0A1D73036370}">
            <xm:f>AND(MONTH(DATE($G$1,7,ROW()-40))=7,COUNTIF(Feiertage!$A$2:$A$13,DATE($G$1,7,ROW()-40))&gt;0)</xm:f>
            <x14:dxf>
              <fill>
                <patternFill patternType="solid">
                  <fgColor rgb="FFDCE8C4"/>
                </patternFill>
              </fill>
            </x14:dxf>
          </x14:cfRule>
          <xm:sqref>A52</xm:sqref>
        </x14:conditionalFormatting>
        <x14:conditionalFormatting xmlns:xm="http://schemas.microsoft.com/office/excel/2006/main">
          <x14:cfRule type="expression" priority="596" stopIfTrue="1" id="{5570342F-3F18-490F-BECC-FDFA7C3747D0}">
            <xm:f>AND(MONTH(DATE($G$1,7,ROW()-40))=7,COUNTIF(Feiertage!$A$2:$A$13,DATE($G$1,7,ROW()-40))&gt;0)</xm:f>
            <x14:dxf>
              <fill>
                <patternFill patternType="solid">
                  <fgColor rgb="FFDCE8C4"/>
                </patternFill>
              </fill>
            </x14:dxf>
          </x14:cfRule>
          <xm:sqref>A53</xm:sqref>
        </x14:conditionalFormatting>
        <x14:conditionalFormatting xmlns:xm="http://schemas.microsoft.com/office/excel/2006/main">
          <x14:cfRule type="expression" priority="599" stopIfTrue="1" id="{EBBE0466-559E-47D0-B090-0AF15FF2A8E2}">
            <xm:f>AND(MONTH(DATE($G$1,7,ROW()-40))=7,COUNTIF(Feiertage!$A$2:$A$13,DATE($G$1,7,ROW()-40))&gt;0)</xm:f>
            <x14:dxf>
              <fill>
                <patternFill patternType="solid">
                  <fgColor rgb="FFDCE8C4"/>
                </patternFill>
              </fill>
            </x14:dxf>
          </x14:cfRule>
          <xm:sqref>A54</xm:sqref>
        </x14:conditionalFormatting>
        <x14:conditionalFormatting xmlns:xm="http://schemas.microsoft.com/office/excel/2006/main">
          <x14:cfRule type="expression" priority="602" stopIfTrue="1" id="{0EA05477-18F7-4847-9D50-EB7608CF7F2C}">
            <xm:f>AND(MONTH(DATE($G$1,7,ROW()-40))=7,COUNTIF(Feiertage!$A$2:$A$13,DATE($G$1,7,ROW()-40))&gt;0)</xm:f>
            <x14:dxf>
              <fill>
                <patternFill patternType="solid">
                  <fgColor rgb="FFDCE8C4"/>
                </patternFill>
              </fill>
            </x14:dxf>
          </x14:cfRule>
          <xm:sqref>A55</xm:sqref>
        </x14:conditionalFormatting>
        <x14:conditionalFormatting xmlns:xm="http://schemas.microsoft.com/office/excel/2006/main">
          <x14:cfRule type="expression" priority="605" stopIfTrue="1" id="{EC7EFD59-B57B-42E1-99AC-70EC94BC9B2C}">
            <xm:f>AND(MONTH(DATE($G$1,7,ROW()-40))=7,COUNTIF(Feiertage!$A$2:$A$13,DATE($G$1,7,ROW()-40))&gt;0)</xm:f>
            <x14:dxf>
              <fill>
                <patternFill patternType="solid">
                  <fgColor rgb="FFDCE8C4"/>
                </patternFill>
              </fill>
            </x14:dxf>
          </x14:cfRule>
          <xm:sqref>A56</xm:sqref>
        </x14:conditionalFormatting>
        <x14:conditionalFormatting xmlns:xm="http://schemas.microsoft.com/office/excel/2006/main">
          <x14:cfRule type="expression" priority="608" stopIfTrue="1" id="{F07DC972-CDB0-404D-BE3A-CE369D1FD5BB}">
            <xm:f>AND(MONTH(DATE($G$1,7,ROW()-40))=7,COUNTIF(Feiertage!$A$2:$A$13,DATE($G$1,7,ROW()-40))&gt;0)</xm:f>
            <x14:dxf>
              <fill>
                <patternFill patternType="solid">
                  <fgColor rgb="FFDCE8C4"/>
                </patternFill>
              </fill>
            </x14:dxf>
          </x14:cfRule>
          <xm:sqref>A57</xm:sqref>
        </x14:conditionalFormatting>
        <x14:conditionalFormatting xmlns:xm="http://schemas.microsoft.com/office/excel/2006/main">
          <x14:cfRule type="expression" priority="611" stopIfTrue="1" id="{E17EA4C9-DDDB-48F7-8844-CEE61DAECF8B}">
            <xm:f>AND(MONTH(DATE($G$1,7,ROW()-40))=7,COUNTIF(Feiertage!$A$2:$A$13,DATE($G$1,7,ROW()-40))&gt;0)</xm:f>
            <x14:dxf>
              <fill>
                <patternFill patternType="solid">
                  <fgColor rgb="FFDCE8C4"/>
                </patternFill>
              </fill>
            </x14:dxf>
          </x14:cfRule>
          <xm:sqref>A58</xm:sqref>
        </x14:conditionalFormatting>
        <x14:conditionalFormatting xmlns:xm="http://schemas.microsoft.com/office/excel/2006/main">
          <x14:cfRule type="expression" priority="614" stopIfTrue="1" id="{9C1DC7BF-9DB9-486E-881D-467CF4659282}">
            <xm:f>AND(MONTH(DATE($G$1,7,ROW()-40))=7,COUNTIF(Feiertage!$A$2:$A$13,DATE($G$1,7,ROW()-40))&gt;0)</xm:f>
            <x14:dxf>
              <fill>
                <patternFill patternType="solid">
                  <fgColor rgb="FFDCE8C4"/>
                </patternFill>
              </fill>
            </x14:dxf>
          </x14:cfRule>
          <xm:sqref>A59</xm:sqref>
        </x14:conditionalFormatting>
        <x14:conditionalFormatting xmlns:xm="http://schemas.microsoft.com/office/excel/2006/main">
          <x14:cfRule type="expression" priority="617" stopIfTrue="1" id="{0A66D437-A4F5-455A-8602-2C8A2A880729}">
            <xm:f>AND(MONTH(DATE($G$1,7,ROW()-40))=7,COUNTIF(Feiertage!$A$2:$A$13,DATE($G$1,7,ROW()-40))&gt;0)</xm:f>
            <x14:dxf>
              <fill>
                <patternFill patternType="solid">
                  <fgColor rgb="FFDCE8C4"/>
                </patternFill>
              </fill>
            </x14:dxf>
          </x14:cfRule>
          <xm:sqref>A60</xm:sqref>
        </x14:conditionalFormatting>
        <x14:conditionalFormatting xmlns:xm="http://schemas.microsoft.com/office/excel/2006/main">
          <x14:cfRule type="expression" priority="620" stopIfTrue="1" id="{DF36DEEE-7F0C-430A-BC04-19450BF57389}">
            <xm:f>AND(MONTH(DATE($G$1,7,ROW()-40))=7,COUNTIF(Feiertage!$A$2:$A$13,DATE($G$1,7,ROW()-40))&gt;0)</xm:f>
            <x14:dxf>
              <fill>
                <patternFill patternType="solid">
                  <fgColor rgb="FFDCE8C4"/>
                </patternFill>
              </fill>
            </x14:dxf>
          </x14:cfRule>
          <xm:sqref>A61</xm:sqref>
        </x14:conditionalFormatting>
        <x14:conditionalFormatting xmlns:xm="http://schemas.microsoft.com/office/excel/2006/main">
          <x14:cfRule type="expression" priority="623" stopIfTrue="1" id="{23EB015B-D235-495F-BE4F-1A439DACCC5D}">
            <xm:f>AND(MONTH(DATE($G$1,7,ROW()-40))=7,COUNTIF(Feiertage!$A$2:$A$13,DATE($G$1,7,ROW()-40))&gt;0)</xm:f>
            <x14:dxf>
              <fill>
                <patternFill patternType="solid">
                  <fgColor rgb="FFDCE8C4"/>
                </patternFill>
              </fill>
            </x14:dxf>
          </x14:cfRule>
          <xm:sqref>A62</xm:sqref>
        </x14:conditionalFormatting>
        <x14:conditionalFormatting xmlns:xm="http://schemas.microsoft.com/office/excel/2006/main">
          <x14:cfRule type="expression" priority="626" stopIfTrue="1" id="{460FDF12-A218-4594-9674-15A3C3708919}">
            <xm:f>AND(MONTH(DATE($G$1,7,ROW()-40))=7,COUNTIF(Feiertage!$A$2:$A$13,DATE($G$1,7,ROW()-40))&gt;0)</xm:f>
            <x14:dxf>
              <fill>
                <patternFill patternType="solid">
                  <fgColor rgb="FFDCE8C4"/>
                </patternFill>
              </fill>
            </x14:dxf>
          </x14:cfRule>
          <xm:sqref>A63</xm:sqref>
        </x14:conditionalFormatting>
        <x14:conditionalFormatting xmlns:xm="http://schemas.microsoft.com/office/excel/2006/main">
          <x14:cfRule type="expression" priority="629" stopIfTrue="1" id="{AE8CF6F4-7617-4420-9E8B-241EEF5FA4CB}">
            <xm:f>AND(MONTH(DATE($G$1,7,ROW()-40))=7,COUNTIF(Feiertage!$A$2:$A$13,DATE($G$1,7,ROW()-40))&gt;0)</xm:f>
            <x14:dxf>
              <fill>
                <patternFill patternType="solid">
                  <fgColor rgb="FFDCE8C4"/>
                </patternFill>
              </fill>
            </x14:dxf>
          </x14:cfRule>
          <xm:sqref>A64</xm:sqref>
        </x14:conditionalFormatting>
        <x14:conditionalFormatting xmlns:xm="http://schemas.microsoft.com/office/excel/2006/main">
          <x14:cfRule type="expression" priority="632" stopIfTrue="1" id="{8ED81549-CA9A-4D4F-863D-C81081BA8F72}">
            <xm:f>AND(MONTH(DATE($G$1,7,ROW()-40))=7,COUNTIF(Feiertage!$A$2:$A$13,DATE($G$1,7,ROW()-40))&gt;0)</xm:f>
            <x14:dxf>
              <fill>
                <patternFill patternType="solid">
                  <fgColor rgb="FFDCE8C4"/>
                </patternFill>
              </fill>
            </x14:dxf>
          </x14:cfRule>
          <xm:sqref>A65</xm:sqref>
        </x14:conditionalFormatting>
        <x14:conditionalFormatting xmlns:xm="http://schemas.microsoft.com/office/excel/2006/main">
          <x14:cfRule type="expression" priority="635" stopIfTrue="1" id="{8A2FE2FF-5597-4AA0-A1F6-3C4A3C107E7E}">
            <xm:f>AND(MONTH(DATE($G$1,7,ROW()-40))=7,COUNTIF(Feiertage!$A$2:$A$13,DATE($G$1,7,ROW()-40))&gt;0)</xm:f>
            <x14:dxf>
              <fill>
                <patternFill patternType="solid">
                  <fgColor rgb="FFDCE8C4"/>
                </patternFill>
              </fill>
            </x14:dxf>
          </x14:cfRule>
          <xm:sqref>A66</xm:sqref>
        </x14:conditionalFormatting>
        <x14:conditionalFormatting xmlns:xm="http://schemas.microsoft.com/office/excel/2006/main">
          <x14:cfRule type="expression" priority="638" stopIfTrue="1" id="{8A90349C-7F0D-494F-B60F-270DA923A392}">
            <xm:f>AND(MONTH(DATE($G$1,7,ROW()-40))=7,COUNTIF(Feiertage!$A$2:$A$13,DATE($G$1,7,ROW()-40))&gt;0)</xm:f>
            <x14:dxf>
              <fill>
                <patternFill patternType="solid">
                  <fgColor rgb="FFDCE8C4"/>
                </patternFill>
              </fill>
            </x14:dxf>
          </x14:cfRule>
          <xm:sqref>A67</xm:sqref>
        </x14:conditionalFormatting>
        <x14:conditionalFormatting xmlns:xm="http://schemas.microsoft.com/office/excel/2006/main">
          <x14:cfRule type="expression" priority="641" stopIfTrue="1" id="{59BC1830-6B3A-498C-927F-22A3254EC976}">
            <xm:f>AND(MONTH(DATE($G$1,7,ROW()-40))=7,COUNTIF(Feiertage!$A$2:$A$13,DATE($G$1,7,ROW()-40))&gt;0)</xm:f>
            <x14:dxf>
              <fill>
                <patternFill patternType="solid">
                  <fgColor rgb="FFDCE8C4"/>
                </patternFill>
              </fill>
            </x14:dxf>
          </x14:cfRule>
          <xm:sqref>A68</xm:sqref>
        </x14:conditionalFormatting>
        <x14:conditionalFormatting xmlns:xm="http://schemas.microsoft.com/office/excel/2006/main">
          <x14:cfRule type="expression" priority="644" stopIfTrue="1" id="{2BB4506C-2294-4C99-BE5E-057F3FC46060}">
            <xm:f>AND(MONTH(DATE($G$1,7,ROW()-40))=7,COUNTIF(Feiertage!$A$2:$A$13,DATE($G$1,7,ROW()-40))&gt;0)</xm:f>
            <x14:dxf>
              <fill>
                <patternFill patternType="solid">
                  <fgColor rgb="FFDCE8C4"/>
                </patternFill>
              </fill>
            </x14:dxf>
          </x14:cfRule>
          <xm:sqref>A69</xm:sqref>
        </x14:conditionalFormatting>
        <x14:conditionalFormatting xmlns:xm="http://schemas.microsoft.com/office/excel/2006/main">
          <x14:cfRule type="expression" priority="647" stopIfTrue="1" id="{F8BBD30D-52D0-4019-AE1E-FC4F13A01ADB}">
            <xm:f>AND(MONTH(DATE($G$1,7,ROW()-40))=7,COUNTIF(Feiertage!$A$2:$A$13,DATE($G$1,7,ROW()-40))&gt;0)</xm:f>
            <x14:dxf>
              <fill>
                <patternFill patternType="solid">
                  <fgColor rgb="FFDCE8C4"/>
                </patternFill>
              </fill>
            </x14:dxf>
          </x14:cfRule>
          <xm:sqref>A70</xm:sqref>
        </x14:conditionalFormatting>
        <x14:conditionalFormatting xmlns:xm="http://schemas.microsoft.com/office/excel/2006/main">
          <x14:cfRule type="expression" priority="650" stopIfTrue="1" id="{E1808C3C-2193-47EF-BB1D-7D89287636BC}">
            <xm:f>AND(MONTH(DATE($G$1,7,ROW()-40))=7,COUNTIF(Feiertage!$A$2:$A$13,DATE($G$1,7,ROW()-40))&gt;0)</xm:f>
            <x14:dxf>
              <fill>
                <patternFill patternType="solid">
                  <fgColor rgb="FFDCE8C4"/>
                </patternFill>
              </fill>
            </x14:dxf>
          </x14:cfRule>
          <xm:sqref>A71</xm:sqref>
        </x14:conditionalFormatting>
        <x14:conditionalFormatting xmlns:xm="http://schemas.microsoft.com/office/excel/2006/main">
          <x14:cfRule type="expression" priority="653" stopIfTrue="1" id="{D0840CF6-C7E6-4B67-B461-0C11069C5AF7}">
            <xm:f>AND(MONTH(DATE($G$1,8,ROW()-40))=8,COUNTIF(Feiertage!$A$2:$A$13,DATE($G$1,8,ROW()-40))&gt;0)</xm:f>
            <x14:dxf>
              <fill>
                <patternFill patternType="solid">
                  <fgColor rgb="FFDCE8C4"/>
                </patternFill>
              </fill>
            </x14:dxf>
          </x14:cfRule>
          <xm:sqref>B41</xm:sqref>
        </x14:conditionalFormatting>
        <x14:conditionalFormatting xmlns:xm="http://schemas.microsoft.com/office/excel/2006/main">
          <x14:cfRule type="expression" priority="656" stopIfTrue="1" id="{F3328A40-7AA0-4DBC-AFEE-36B77535C96E}">
            <xm:f>AND(MONTH(DATE($G$1,8,ROW()-40))=8,COUNTIF(Feiertage!$A$2:$A$13,DATE($G$1,8,ROW()-40))&gt;0)</xm:f>
            <x14:dxf>
              <fill>
                <patternFill patternType="solid">
                  <fgColor rgb="FFDCE8C4"/>
                </patternFill>
              </fill>
            </x14:dxf>
          </x14:cfRule>
          <xm:sqref>B42</xm:sqref>
        </x14:conditionalFormatting>
        <x14:conditionalFormatting xmlns:xm="http://schemas.microsoft.com/office/excel/2006/main">
          <x14:cfRule type="expression" priority="659" stopIfTrue="1" id="{9A38A69C-7FA6-451C-8A69-2C12150A1E34}">
            <xm:f>AND(MONTH(DATE($G$1,8,ROW()-40))=8,COUNTIF(Feiertage!$A$2:$A$13,DATE($G$1,8,ROW()-40))&gt;0)</xm:f>
            <x14:dxf>
              <fill>
                <patternFill patternType="solid">
                  <fgColor rgb="FFDCE8C4"/>
                </patternFill>
              </fill>
            </x14:dxf>
          </x14:cfRule>
          <xm:sqref>B43</xm:sqref>
        </x14:conditionalFormatting>
        <x14:conditionalFormatting xmlns:xm="http://schemas.microsoft.com/office/excel/2006/main">
          <x14:cfRule type="expression" priority="662" stopIfTrue="1" id="{9EA9BCBF-D7F0-4BDE-A486-440CF220D021}">
            <xm:f>AND(MONTH(DATE($G$1,8,ROW()-40))=8,COUNTIF(Feiertage!$A$2:$A$13,DATE($G$1,8,ROW()-40))&gt;0)</xm:f>
            <x14:dxf>
              <fill>
                <patternFill patternType="solid">
                  <fgColor rgb="FFDCE8C4"/>
                </patternFill>
              </fill>
            </x14:dxf>
          </x14:cfRule>
          <xm:sqref>B44</xm:sqref>
        </x14:conditionalFormatting>
        <x14:conditionalFormatting xmlns:xm="http://schemas.microsoft.com/office/excel/2006/main">
          <x14:cfRule type="expression" priority="665" stopIfTrue="1" id="{DBEA915F-67B3-4469-9821-3C4C417717ED}">
            <xm:f>AND(MONTH(DATE($G$1,8,ROW()-40))=8,COUNTIF(Feiertage!$A$2:$A$13,DATE($G$1,8,ROW()-40))&gt;0)</xm:f>
            <x14:dxf>
              <fill>
                <patternFill patternType="solid">
                  <fgColor rgb="FFDCE8C4"/>
                </patternFill>
              </fill>
            </x14:dxf>
          </x14:cfRule>
          <xm:sqref>B45</xm:sqref>
        </x14:conditionalFormatting>
        <x14:conditionalFormatting xmlns:xm="http://schemas.microsoft.com/office/excel/2006/main">
          <x14:cfRule type="expression" priority="668" stopIfTrue="1" id="{A3B288DE-FAC4-4CC5-B004-5F7C115604EC}">
            <xm:f>AND(MONTH(DATE($G$1,8,ROW()-40))=8,COUNTIF(Feiertage!$A$2:$A$13,DATE($G$1,8,ROW()-40))&gt;0)</xm:f>
            <x14:dxf>
              <fill>
                <patternFill patternType="solid">
                  <fgColor rgb="FFDCE8C4"/>
                </patternFill>
              </fill>
            </x14:dxf>
          </x14:cfRule>
          <xm:sqref>B46</xm:sqref>
        </x14:conditionalFormatting>
        <x14:conditionalFormatting xmlns:xm="http://schemas.microsoft.com/office/excel/2006/main">
          <x14:cfRule type="expression" priority="671" stopIfTrue="1" id="{2710F1AB-FE2C-4A66-9C80-E05FDA89AC18}">
            <xm:f>AND(MONTH(DATE($G$1,8,ROW()-40))=8,COUNTIF(Feiertage!$A$2:$A$13,DATE($G$1,8,ROW()-40))&gt;0)</xm:f>
            <x14:dxf>
              <fill>
                <patternFill patternType="solid">
                  <fgColor rgb="FFDCE8C4"/>
                </patternFill>
              </fill>
            </x14:dxf>
          </x14:cfRule>
          <xm:sqref>B47</xm:sqref>
        </x14:conditionalFormatting>
        <x14:conditionalFormatting xmlns:xm="http://schemas.microsoft.com/office/excel/2006/main">
          <x14:cfRule type="expression" priority="674" stopIfTrue="1" id="{730B734B-6195-4BB2-942F-8119D160DCE3}">
            <xm:f>AND(MONTH(DATE($G$1,8,ROW()-40))=8,COUNTIF(Feiertage!$A$2:$A$13,DATE($G$1,8,ROW()-40))&gt;0)</xm:f>
            <x14:dxf>
              <fill>
                <patternFill patternType="solid">
                  <fgColor rgb="FFDCE8C4"/>
                </patternFill>
              </fill>
            </x14:dxf>
          </x14:cfRule>
          <xm:sqref>B48</xm:sqref>
        </x14:conditionalFormatting>
        <x14:conditionalFormatting xmlns:xm="http://schemas.microsoft.com/office/excel/2006/main">
          <x14:cfRule type="expression" priority="677" stopIfTrue="1" id="{090DAFD4-6CD8-485D-9F79-C97C93D51D79}">
            <xm:f>AND(MONTH(DATE($G$1,8,ROW()-40))=8,COUNTIF(Feiertage!$A$2:$A$13,DATE($G$1,8,ROW()-40))&gt;0)</xm:f>
            <x14:dxf>
              <fill>
                <patternFill patternType="solid">
                  <fgColor rgb="FFDCE8C4"/>
                </patternFill>
              </fill>
            </x14:dxf>
          </x14:cfRule>
          <xm:sqref>B49</xm:sqref>
        </x14:conditionalFormatting>
        <x14:conditionalFormatting xmlns:xm="http://schemas.microsoft.com/office/excel/2006/main">
          <x14:cfRule type="expression" priority="680" stopIfTrue="1" id="{DA15F058-E6DE-499B-A526-7C917433B497}">
            <xm:f>AND(MONTH(DATE($G$1,8,ROW()-40))=8,COUNTIF(Feiertage!$A$2:$A$13,DATE($G$1,8,ROW()-40))&gt;0)</xm:f>
            <x14:dxf>
              <fill>
                <patternFill patternType="solid">
                  <fgColor rgb="FFDCE8C4"/>
                </patternFill>
              </fill>
            </x14:dxf>
          </x14:cfRule>
          <xm:sqref>B50</xm:sqref>
        </x14:conditionalFormatting>
        <x14:conditionalFormatting xmlns:xm="http://schemas.microsoft.com/office/excel/2006/main">
          <x14:cfRule type="expression" priority="683" stopIfTrue="1" id="{4C75A590-3DB1-41C0-B3BB-F7FB7976754E}">
            <xm:f>AND(MONTH(DATE($G$1,8,ROW()-40))=8,COUNTIF(Feiertage!$A$2:$A$13,DATE($G$1,8,ROW()-40))&gt;0)</xm:f>
            <x14:dxf>
              <fill>
                <patternFill patternType="solid">
                  <fgColor rgb="FFDCE8C4"/>
                </patternFill>
              </fill>
            </x14:dxf>
          </x14:cfRule>
          <xm:sqref>B51</xm:sqref>
        </x14:conditionalFormatting>
        <x14:conditionalFormatting xmlns:xm="http://schemas.microsoft.com/office/excel/2006/main">
          <x14:cfRule type="expression" priority="686" stopIfTrue="1" id="{F439AD4F-433D-4551-AEA1-25029ACADDE6}">
            <xm:f>AND(MONTH(DATE($G$1,8,ROW()-40))=8,COUNTIF(Feiertage!$A$2:$A$13,DATE($G$1,8,ROW()-40))&gt;0)</xm:f>
            <x14:dxf>
              <fill>
                <patternFill patternType="solid">
                  <fgColor rgb="FFDCE8C4"/>
                </patternFill>
              </fill>
            </x14:dxf>
          </x14:cfRule>
          <xm:sqref>B52</xm:sqref>
        </x14:conditionalFormatting>
        <x14:conditionalFormatting xmlns:xm="http://schemas.microsoft.com/office/excel/2006/main">
          <x14:cfRule type="expression" priority="689" stopIfTrue="1" id="{4B098BA6-98E0-4243-B2F7-F96A458D3EB8}">
            <xm:f>AND(MONTH(DATE($G$1,8,ROW()-40))=8,COUNTIF(Feiertage!$A$2:$A$13,DATE($G$1,8,ROW()-40))&gt;0)</xm:f>
            <x14:dxf>
              <fill>
                <patternFill patternType="solid">
                  <fgColor rgb="FFDCE8C4"/>
                </patternFill>
              </fill>
            </x14:dxf>
          </x14:cfRule>
          <xm:sqref>B53</xm:sqref>
        </x14:conditionalFormatting>
        <x14:conditionalFormatting xmlns:xm="http://schemas.microsoft.com/office/excel/2006/main">
          <x14:cfRule type="expression" priority="692" stopIfTrue="1" id="{26835D80-3E9B-4A66-A852-4A13050B04F6}">
            <xm:f>AND(MONTH(DATE($G$1,8,ROW()-40))=8,COUNTIF(Feiertage!$A$2:$A$13,DATE($G$1,8,ROW()-40))&gt;0)</xm:f>
            <x14:dxf>
              <fill>
                <patternFill patternType="solid">
                  <fgColor rgb="FFDCE8C4"/>
                </patternFill>
              </fill>
            </x14:dxf>
          </x14:cfRule>
          <xm:sqref>B54</xm:sqref>
        </x14:conditionalFormatting>
        <x14:conditionalFormatting xmlns:xm="http://schemas.microsoft.com/office/excel/2006/main">
          <x14:cfRule type="expression" priority="695" stopIfTrue="1" id="{9E5D592F-3EE9-4FE8-8C0B-12D144122BC1}">
            <xm:f>AND(MONTH(DATE($G$1,8,ROW()-40))=8,COUNTIF(Feiertage!$A$2:$A$13,DATE($G$1,8,ROW()-40))&gt;0)</xm:f>
            <x14:dxf>
              <fill>
                <patternFill patternType="solid">
                  <fgColor rgb="FFDCE8C4"/>
                </patternFill>
              </fill>
            </x14:dxf>
          </x14:cfRule>
          <xm:sqref>B55</xm:sqref>
        </x14:conditionalFormatting>
        <x14:conditionalFormatting xmlns:xm="http://schemas.microsoft.com/office/excel/2006/main">
          <x14:cfRule type="expression" priority="698" stopIfTrue="1" id="{211B6653-F0C1-4F3B-8D32-1CCB7074227A}">
            <xm:f>AND(MONTH(DATE($G$1,8,ROW()-40))=8,COUNTIF(Feiertage!$A$2:$A$13,DATE($G$1,8,ROW()-40))&gt;0)</xm:f>
            <x14:dxf>
              <fill>
                <patternFill patternType="solid">
                  <fgColor rgb="FFDCE8C4"/>
                </patternFill>
              </fill>
            </x14:dxf>
          </x14:cfRule>
          <xm:sqref>B56</xm:sqref>
        </x14:conditionalFormatting>
        <x14:conditionalFormatting xmlns:xm="http://schemas.microsoft.com/office/excel/2006/main">
          <x14:cfRule type="expression" priority="701" stopIfTrue="1" id="{3A5732A6-F916-4CC0-875D-A971FFB8D183}">
            <xm:f>AND(MONTH(DATE($G$1,8,ROW()-40))=8,COUNTIF(Feiertage!$A$2:$A$13,DATE($G$1,8,ROW()-40))&gt;0)</xm:f>
            <x14:dxf>
              <fill>
                <patternFill patternType="solid">
                  <fgColor rgb="FFDCE8C4"/>
                </patternFill>
              </fill>
            </x14:dxf>
          </x14:cfRule>
          <xm:sqref>B57</xm:sqref>
        </x14:conditionalFormatting>
        <x14:conditionalFormatting xmlns:xm="http://schemas.microsoft.com/office/excel/2006/main">
          <x14:cfRule type="expression" priority="704" stopIfTrue="1" id="{41AD954E-E6D5-4ADD-9A83-56BEA6CD6DE4}">
            <xm:f>AND(MONTH(DATE($G$1,8,ROW()-40))=8,COUNTIF(Feiertage!$A$2:$A$13,DATE($G$1,8,ROW()-40))&gt;0)</xm:f>
            <x14:dxf>
              <fill>
                <patternFill patternType="solid">
                  <fgColor rgb="FFDCE8C4"/>
                </patternFill>
              </fill>
            </x14:dxf>
          </x14:cfRule>
          <xm:sqref>B58</xm:sqref>
        </x14:conditionalFormatting>
        <x14:conditionalFormatting xmlns:xm="http://schemas.microsoft.com/office/excel/2006/main">
          <x14:cfRule type="expression" priority="707" stopIfTrue="1" id="{D9F4C757-E57E-4BD8-AE91-483DFB8C77C4}">
            <xm:f>AND(MONTH(DATE($G$1,8,ROW()-40))=8,COUNTIF(Feiertage!$A$2:$A$13,DATE($G$1,8,ROW()-40))&gt;0)</xm:f>
            <x14:dxf>
              <fill>
                <patternFill patternType="solid">
                  <fgColor rgb="FFDCE8C4"/>
                </patternFill>
              </fill>
            </x14:dxf>
          </x14:cfRule>
          <xm:sqref>B59</xm:sqref>
        </x14:conditionalFormatting>
        <x14:conditionalFormatting xmlns:xm="http://schemas.microsoft.com/office/excel/2006/main">
          <x14:cfRule type="expression" priority="710" stopIfTrue="1" id="{0EAAE3C5-1D7B-47EB-8EF3-C375B58F498B}">
            <xm:f>AND(MONTH(DATE($G$1,8,ROW()-40))=8,COUNTIF(Feiertage!$A$2:$A$13,DATE($G$1,8,ROW()-40))&gt;0)</xm:f>
            <x14:dxf>
              <fill>
                <patternFill patternType="solid">
                  <fgColor rgb="FFDCE8C4"/>
                </patternFill>
              </fill>
            </x14:dxf>
          </x14:cfRule>
          <xm:sqref>B60</xm:sqref>
        </x14:conditionalFormatting>
        <x14:conditionalFormatting xmlns:xm="http://schemas.microsoft.com/office/excel/2006/main">
          <x14:cfRule type="expression" priority="713" stopIfTrue="1" id="{80C0A386-719D-42AA-8650-FE046E04ED0B}">
            <xm:f>AND(MONTH(DATE($G$1,8,ROW()-40))=8,COUNTIF(Feiertage!$A$2:$A$13,DATE($G$1,8,ROW()-40))&gt;0)</xm:f>
            <x14:dxf>
              <fill>
                <patternFill patternType="solid">
                  <fgColor rgb="FFDCE8C4"/>
                </patternFill>
              </fill>
            </x14:dxf>
          </x14:cfRule>
          <xm:sqref>B61</xm:sqref>
        </x14:conditionalFormatting>
        <x14:conditionalFormatting xmlns:xm="http://schemas.microsoft.com/office/excel/2006/main">
          <x14:cfRule type="expression" priority="716" stopIfTrue="1" id="{2D3233CC-BB0B-4E6B-ADC0-2FA3CEE50F7A}">
            <xm:f>AND(MONTH(DATE($G$1,8,ROW()-40))=8,COUNTIF(Feiertage!$A$2:$A$13,DATE($G$1,8,ROW()-40))&gt;0)</xm:f>
            <x14:dxf>
              <fill>
                <patternFill patternType="solid">
                  <fgColor rgb="FFDCE8C4"/>
                </patternFill>
              </fill>
            </x14:dxf>
          </x14:cfRule>
          <xm:sqref>B62</xm:sqref>
        </x14:conditionalFormatting>
        <x14:conditionalFormatting xmlns:xm="http://schemas.microsoft.com/office/excel/2006/main">
          <x14:cfRule type="expression" priority="719" stopIfTrue="1" id="{733EB39F-7AE3-496C-8ED2-F6C55F0F8590}">
            <xm:f>AND(MONTH(DATE($G$1,8,ROW()-40))=8,COUNTIF(Feiertage!$A$2:$A$13,DATE($G$1,8,ROW()-40))&gt;0)</xm:f>
            <x14:dxf>
              <fill>
                <patternFill patternType="solid">
                  <fgColor rgb="FFDCE8C4"/>
                </patternFill>
              </fill>
            </x14:dxf>
          </x14:cfRule>
          <xm:sqref>B63</xm:sqref>
        </x14:conditionalFormatting>
        <x14:conditionalFormatting xmlns:xm="http://schemas.microsoft.com/office/excel/2006/main">
          <x14:cfRule type="expression" priority="722" stopIfTrue="1" id="{E3BFC969-8BAB-447E-AA31-75018E7021BF}">
            <xm:f>AND(MONTH(DATE($G$1,8,ROW()-40))=8,COUNTIF(Feiertage!$A$2:$A$13,DATE($G$1,8,ROW()-40))&gt;0)</xm:f>
            <x14:dxf>
              <fill>
                <patternFill patternType="solid">
                  <fgColor rgb="FFDCE8C4"/>
                </patternFill>
              </fill>
            </x14:dxf>
          </x14:cfRule>
          <xm:sqref>B64</xm:sqref>
        </x14:conditionalFormatting>
        <x14:conditionalFormatting xmlns:xm="http://schemas.microsoft.com/office/excel/2006/main">
          <x14:cfRule type="expression" priority="725" stopIfTrue="1" id="{B65770FA-6A0B-4DE8-95CE-ADD6639366E2}">
            <xm:f>AND(MONTH(DATE($G$1,8,ROW()-40))=8,COUNTIF(Feiertage!$A$2:$A$13,DATE($G$1,8,ROW()-40))&gt;0)</xm:f>
            <x14:dxf>
              <fill>
                <patternFill patternType="solid">
                  <fgColor rgb="FFDCE8C4"/>
                </patternFill>
              </fill>
            </x14:dxf>
          </x14:cfRule>
          <xm:sqref>B65</xm:sqref>
        </x14:conditionalFormatting>
        <x14:conditionalFormatting xmlns:xm="http://schemas.microsoft.com/office/excel/2006/main">
          <x14:cfRule type="expression" priority="728" stopIfTrue="1" id="{AFF31074-0338-46BF-8848-1BD32BDB7291}">
            <xm:f>AND(MONTH(DATE($G$1,8,ROW()-40))=8,COUNTIF(Feiertage!$A$2:$A$13,DATE($G$1,8,ROW()-40))&gt;0)</xm:f>
            <x14:dxf>
              <fill>
                <patternFill patternType="solid">
                  <fgColor rgb="FFDCE8C4"/>
                </patternFill>
              </fill>
            </x14:dxf>
          </x14:cfRule>
          <xm:sqref>B66</xm:sqref>
        </x14:conditionalFormatting>
        <x14:conditionalFormatting xmlns:xm="http://schemas.microsoft.com/office/excel/2006/main">
          <x14:cfRule type="expression" priority="731" stopIfTrue="1" id="{7A81ACFB-F5C5-4DAE-B27E-287A5E2F5CD9}">
            <xm:f>AND(MONTH(DATE($G$1,8,ROW()-40))=8,COUNTIF(Feiertage!$A$2:$A$13,DATE($G$1,8,ROW()-40))&gt;0)</xm:f>
            <x14:dxf>
              <fill>
                <patternFill patternType="solid">
                  <fgColor rgb="FFDCE8C4"/>
                </patternFill>
              </fill>
            </x14:dxf>
          </x14:cfRule>
          <xm:sqref>B67</xm:sqref>
        </x14:conditionalFormatting>
        <x14:conditionalFormatting xmlns:xm="http://schemas.microsoft.com/office/excel/2006/main">
          <x14:cfRule type="expression" priority="734" stopIfTrue="1" id="{B75130EE-14CE-414A-8AD5-7CDB99C536C5}">
            <xm:f>AND(MONTH(DATE($G$1,8,ROW()-40))=8,COUNTIF(Feiertage!$A$2:$A$13,DATE($G$1,8,ROW()-40))&gt;0)</xm:f>
            <x14:dxf>
              <fill>
                <patternFill patternType="solid">
                  <fgColor rgb="FFDCE8C4"/>
                </patternFill>
              </fill>
            </x14:dxf>
          </x14:cfRule>
          <xm:sqref>B68</xm:sqref>
        </x14:conditionalFormatting>
        <x14:conditionalFormatting xmlns:xm="http://schemas.microsoft.com/office/excel/2006/main">
          <x14:cfRule type="expression" priority="737" stopIfTrue="1" id="{BCA7C987-87A2-41DF-86AD-A270C03CC3DF}">
            <xm:f>AND(MONTH(DATE($G$1,8,ROW()-40))=8,COUNTIF(Feiertage!$A$2:$A$13,DATE($G$1,8,ROW()-40))&gt;0)</xm:f>
            <x14:dxf>
              <fill>
                <patternFill patternType="solid">
                  <fgColor rgb="FFDCE8C4"/>
                </patternFill>
              </fill>
            </x14:dxf>
          </x14:cfRule>
          <xm:sqref>B69</xm:sqref>
        </x14:conditionalFormatting>
        <x14:conditionalFormatting xmlns:xm="http://schemas.microsoft.com/office/excel/2006/main">
          <x14:cfRule type="expression" priority="740" stopIfTrue="1" id="{B16B09B9-8196-4388-B19D-578B5FEDE0A4}">
            <xm:f>AND(MONTH(DATE($G$1,8,ROW()-40))=8,COUNTIF(Feiertage!$A$2:$A$13,DATE($G$1,8,ROW()-40))&gt;0)</xm:f>
            <x14:dxf>
              <fill>
                <patternFill patternType="solid">
                  <fgColor rgb="FFDCE8C4"/>
                </patternFill>
              </fill>
            </x14:dxf>
          </x14:cfRule>
          <xm:sqref>B70</xm:sqref>
        </x14:conditionalFormatting>
        <x14:conditionalFormatting xmlns:xm="http://schemas.microsoft.com/office/excel/2006/main">
          <x14:cfRule type="expression" priority="743" stopIfTrue="1" id="{1A6DE208-3765-4471-B190-247074026EBC}">
            <xm:f>AND(MONTH(DATE($G$1,8,ROW()-40))=8,COUNTIF(Feiertage!$A$2:$A$13,DATE($G$1,8,ROW()-40))&gt;0)</xm:f>
            <x14:dxf>
              <fill>
                <patternFill patternType="solid">
                  <fgColor rgb="FFDCE8C4"/>
                </patternFill>
              </fill>
            </x14:dxf>
          </x14:cfRule>
          <xm:sqref>B71</xm:sqref>
        </x14:conditionalFormatting>
        <x14:conditionalFormatting xmlns:xm="http://schemas.microsoft.com/office/excel/2006/main">
          <x14:cfRule type="expression" priority="746" stopIfTrue="1" id="{056F7F88-7145-4DCE-AD60-3047856B6314}">
            <xm:f>AND(MONTH(DATE($G$1,9,ROW()-40))=9,COUNTIF(Feiertage!$A$2:$A$13,DATE($G$1,9,ROW()-40))&gt;0)</xm:f>
            <x14:dxf>
              <fill>
                <patternFill patternType="solid">
                  <fgColor rgb="FFDCE8C4"/>
                </patternFill>
              </fill>
            </x14:dxf>
          </x14:cfRule>
          <xm:sqref>C41</xm:sqref>
        </x14:conditionalFormatting>
        <x14:conditionalFormatting xmlns:xm="http://schemas.microsoft.com/office/excel/2006/main">
          <x14:cfRule type="expression" priority="749" stopIfTrue="1" id="{92B7BFA9-6B96-42F6-82DE-473FC35A7264}">
            <xm:f>AND(MONTH(DATE($G$1,9,ROW()-40))=9,COUNTIF(Feiertage!$A$2:$A$13,DATE($G$1,9,ROW()-40))&gt;0)</xm:f>
            <x14:dxf>
              <fill>
                <patternFill patternType="solid">
                  <fgColor rgb="FFDCE8C4"/>
                </patternFill>
              </fill>
            </x14:dxf>
          </x14:cfRule>
          <xm:sqref>C42</xm:sqref>
        </x14:conditionalFormatting>
        <x14:conditionalFormatting xmlns:xm="http://schemas.microsoft.com/office/excel/2006/main">
          <x14:cfRule type="expression" priority="752" stopIfTrue="1" id="{AA395EAD-F06C-42E5-9673-F2FEA658A6E3}">
            <xm:f>AND(MONTH(DATE($G$1,9,ROW()-40))=9,COUNTIF(Feiertage!$A$2:$A$13,DATE($G$1,9,ROW()-40))&gt;0)</xm:f>
            <x14:dxf>
              <fill>
                <patternFill patternType="solid">
                  <fgColor rgb="FFDCE8C4"/>
                </patternFill>
              </fill>
            </x14:dxf>
          </x14:cfRule>
          <xm:sqref>C43</xm:sqref>
        </x14:conditionalFormatting>
        <x14:conditionalFormatting xmlns:xm="http://schemas.microsoft.com/office/excel/2006/main">
          <x14:cfRule type="expression" priority="755" stopIfTrue="1" id="{0081AC26-41C2-4432-B515-562164E790F6}">
            <xm:f>AND(MONTH(DATE($G$1,9,ROW()-40))=9,COUNTIF(Feiertage!$A$2:$A$13,DATE($G$1,9,ROW()-40))&gt;0)</xm:f>
            <x14:dxf>
              <fill>
                <patternFill patternType="solid">
                  <fgColor rgb="FFDCE8C4"/>
                </patternFill>
              </fill>
            </x14:dxf>
          </x14:cfRule>
          <xm:sqref>C44</xm:sqref>
        </x14:conditionalFormatting>
        <x14:conditionalFormatting xmlns:xm="http://schemas.microsoft.com/office/excel/2006/main">
          <x14:cfRule type="expression" priority="758" stopIfTrue="1" id="{88038DAD-BEDD-4450-8081-1587B83D7DB5}">
            <xm:f>AND(MONTH(DATE($G$1,9,ROW()-40))=9,COUNTIF(Feiertage!$A$2:$A$13,DATE($G$1,9,ROW()-40))&gt;0)</xm:f>
            <x14:dxf>
              <fill>
                <patternFill patternType="solid">
                  <fgColor rgb="FFDCE8C4"/>
                </patternFill>
              </fill>
            </x14:dxf>
          </x14:cfRule>
          <xm:sqref>C45</xm:sqref>
        </x14:conditionalFormatting>
        <x14:conditionalFormatting xmlns:xm="http://schemas.microsoft.com/office/excel/2006/main">
          <x14:cfRule type="expression" priority="761" stopIfTrue="1" id="{B3FE65B3-147C-4CE5-B453-DC045F17DE66}">
            <xm:f>AND(MONTH(DATE($G$1,9,ROW()-40))=9,COUNTIF(Feiertage!$A$2:$A$13,DATE($G$1,9,ROW()-40))&gt;0)</xm:f>
            <x14:dxf>
              <fill>
                <patternFill patternType="solid">
                  <fgColor rgb="FFDCE8C4"/>
                </patternFill>
              </fill>
            </x14:dxf>
          </x14:cfRule>
          <xm:sqref>C46</xm:sqref>
        </x14:conditionalFormatting>
        <x14:conditionalFormatting xmlns:xm="http://schemas.microsoft.com/office/excel/2006/main">
          <x14:cfRule type="expression" priority="764" stopIfTrue="1" id="{8FD86977-D5FE-4607-B3E8-B7C0BD92F9B5}">
            <xm:f>AND(MONTH(DATE($G$1,9,ROW()-40))=9,COUNTIF(Feiertage!$A$2:$A$13,DATE($G$1,9,ROW()-40))&gt;0)</xm:f>
            <x14:dxf>
              <fill>
                <patternFill patternType="solid">
                  <fgColor rgb="FFDCE8C4"/>
                </patternFill>
              </fill>
            </x14:dxf>
          </x14:cfRule>
          <xm:sqref>C47</xm:sqref>
        </x14:conditionalFormatting>
        <x14:conditionalFormatting xmlns:xm="http://schemas.microsoft.com/office/excel/2006/main">
          <x14:cfRule type="expression" priority="767" stopIfTrue="1" id="{3A2EAB8C-675B-47F0-B87F-6D91038CFF1B}">
            <xm:f>AND(MONTH(DATE($G$1,9,ROW()-40))=9,COUNTIF(Feiertage!$A$2:$A$13,DATE($G$1,9,ROW()-40))&gt;0)</xm:f>
            <x14:dxf>
              <fill>
                <patternFill patternType="solid">
                  <fgColor rgb="FFDCE8C4"/>
                </patternFill>
              </fill>
            </x14:dxf>
          </x14:cfRule>
          <xm:sqref>C48</xm:sqref>
        </x14:conditionalFormatting>
        <x14:conditionalFormatting xmlns:xm="http://schemas.microsoft.com/office/excel/2006/main">
          <x14:cfRule type="expression" priority="770" stopIfTrue="1" id="{CD91F716-6FFD-416A-A01C-A674808E984C}">
            <xm:f>AND(MONTH(DATE($G$1,9,ROW()-40))=9,COUNTIF(Feiertage!$A$2:$A$13,DATE($G$1,9,ROW()-40))&gt;0)</xm:f>
            <x14:dxf>
              <fill>
                <patternFill patternType="solid">
                  <fgColor rgb="FFDCE8C4"/>
                </patternFill>
              </fill>
            </x14:dxf>
          </x14:cfRule>
          <xm:sqref>C49</xm:sqref>
        </x14:conditionalFormatting>
        <x14:conditionalFormatting xmlns:xm="http://schemas.microsoft.com/office/excel/2006/main">
          <x14:cfRule type="expression" priority="773" stopIfTrue="1" id="{37448D38-2F87-4340-A2E0-50C29AF50A48}">
            <xm:f>AND(MONTH(DATE($G$1,9,ROW()-40))=9,COUNTIF(Feiertage!$A$2:$A$13,DATE($G$1,9,ROW()-40))&gt;0)</xm:f>
            <x14:dxf>
              <fill>
                <patternFill patternType="solid">
                  <fgColor rgb="FFDCE8C4"/>
                </patternFill>
              </fill>
            </x14:dxf>
          </x14:cfRule>
          <xm:sqref>C50</xm:sqref>
        </x14:conditionalFormatting>
        <x14:conditionalFormatting xmlns:xm="http://schemas.microsoft.com/office/excel/2006/main">
          <x14:cfRule type="expression" priority="776" stopIfTrue="1" id="{C633B82B-263A-4911-AE13-17E8743CD9D8}">
            <xm:f>AND(MONTH(DATE($G$1,9,ROW()-40))=9,COUNTIF(Feiertage!$A$2:$A$13,DATE($G$1,9,ROW()-40))&gt;0)</xm:f>
            <x14:dxf>
              <fill>
                <patternFill patternType="solid">
                  <fgColor rgb="FFDCE8C4"/>
                </patternFill>
              </fill>
            </x14:dxf>
          </x14:cfRule>
          <xm:sqref>C51</xm:sqref>
        </x14:conditionalFormatting>
        <x14:conditionalFormatting xmlns:xm="http://schemas.microsoft.com/office/excel/2006/main">
          <x14:cfRule type="expression" priority="779" stopIfTrue="1" id="{78D35420-B6B5-4E24-B074-051077CC78BA}">
            <xm:f>AND(MONTH(DATE($G$1,9,ROW()-40))=9,COUNTIF(Feiertage!$A$2:$A$13,DATE($G$1,9,ROW()-40))&gt;0)</xm:f>
            <x14:dxf>
              <fill>
                <patternFill patternType="solid">
                  <fgColor rgb="FFDCE8C4"/>
                </patternFill>
              </fill>
            </x14:dxf>
          </x14:cfRule>
          <xm:sqref>C52</xm:sqref>
        </x14:conditionalFormatting>
        <x14:conditionalFormatting xmlns:xm="http://schemas.microsoft.com/office/excel/2006/main">
          <x14:cfRule type="expression" priority="782" stopIfTrue="1" id="{A473B313-D9CB-4BB5-8BB8-94D3C4F9B967}">
            <xm:f>AND(MONTH(DATE($G$1,9,ROW()-40))=9,COUNTIF(Feiertage!$A$2:$A$13,DATE($G$1,9,ROW()-40))&gt;0)</xm:f>
            <x14:dxf>
              <fill>
                <patternFill patternType="solid">
                  <fgColor rgb="FFDCE8C4"/>
                </patternFill>
              </fill>
            </x14:dxf>
          </x14:cfRule>
          <xm:sqref>C53</xm:sqref>
        </x14:conditionalFormatting>
        <x14:conditionalFormatting xmlns:xm="http://schemas.microsoft.com/office/excel/2006/main">
          <x14:cfRule type="expression" priority="785" stopIfTrue="1" id="{DA231AFC-0531-416D-A1FE-73CC49134745}">
            <xm:f>AND(MONTH(DATE($G$1,9,ROW()-40))=9,COUNTIF(Feiertage!$A$2:$A$13,DATE($G$1,9,ROW()-40))&gt;0)</xm:f>
            <x14:dxf>
              <fill>
                <patternFill patternType="solid">
                  <fgColor rgb="FFDCE8C4"/>
                </patternFill>
              </fill>
            </x14:dxf>
          </x14:cfRule>
          <xm:sqref>C54</xm:sqref>
        </x14:conditionalFormatting>
        <x14:conditionalFormatting xmlns:xm="http://schemas.microsoft.com/office/excel/2006/main">
          <x14:cfRule type="expression" priority="788" stopIfTrue="1" id="{E188BE40-BF2A-4914-A8B0-09C97A8032C6}">
            <xm:f>AND(MONTH(DATE($G$1,9,ROW()-40))=9,COUNTIF(Feiertage!$A$2:$A$13,DATE($G$1,9,ROW()-40))&gt;0)</xm:f>
            <x14:dxf>
              <fill>
                <patternFill patternType="solid">
                  <fgColor rgb="FFDCE8C4"/>
                </patternFill>
              </fill>
            </x14:dxf>
          </x14:cfRule>
          <xm:sqref>C55</xm:sqref>
        </x14:conditionalFormatting>
        <x14:conditionalFormatting xmlns:xm="http://schemas.microsoft.com/office/excel/2006/main">
          <x14:cfRule type="expression" priority="791" stopIfTrue="1" id="{93E856D3-88E7-4EF5-9622-0705C9D66B43}">
            <xm:f>AND(MONTH(DATE($G$1,9,ROW()-40))=9,COUNTIF(Feiertage!$A$2:$A$13,DATE($G$1,9,ROW()-40))&gt;0)</xm:f>
            <x14:dxf>
              <fill>
                <patternFill patternType="solid">
                  <fgColor rgb="FFDCE8C4"/>
                </patternFill>
              </fill>
            </x14:dxf>
          </x14:cfRule>
          <xm:sqref>C56</xm:sqref>
        </x14:conditionalFormatting>
        <x14:conditionalFormatting xmlns:xm="http://schemas.microsoft.com/office/excel/2006/main">
          <x14:cfRule type="expression" priority="794" stopIfTrue="1" id="{D63CB228-3420-49AC-93D6-976E44BF1B3D}">
            <xm:f>AND(MONTH(DATE($G$1,9,ROW()-40))=9,COUNTIF(Feiertage!$A$2:$A$13,DATE($G$1,9,ROW()-40))&gt;0)</xm:f>
            <x14:dxf>
              <fill>
                <patternFill patternType="solid">
                  <fgColor rgb="FFDCE8C4"/>
                </patternFill>
              </fill>
            </x14:dxf>
          </x14:cfRule>
          <xm:sqref>C57</xm:sqref>
        </x14:conditionalFormatting>
        <x14:conditionalFormatting xmlns:xm="http://schemas.microsoft.com/office/excel/2006/main">
          <x14:cfRule type="expression" priority="797" stopIfTrue="1" id="{FF087B49-4D4C-4259-ACF6-1D5DFA5CA743}">
            <xm:f>AND(MONTH(DATE($G$1,9,ROW()-40))=9,COUNTIF(Feiertage!$A$2:$A$13,DATE($G$1,9,ROW()-40))&gt;0)</xm:f>
            <x14:dxf>
              <fill>
                <patternFill patternType="solid">
                  <fgColor rgb="FFDCE8C4"/>
                </patternFill>
              </fill>
            </x14:dxf>
          </x14:cfRule>
          <xm:sqref>C58</xm:sqref>
        </x14:conditionalFormatting>
        <x14:conditionalFormatting xmlns:xm="http://schemas.microsoft.com/office/excel/2006/main">
          <x14:cfRule type="expression" priority="800" stopIfTrue="1" id="{7F81DBD8-A4A8-43C4-AC8C-30AF0C24E0E7}">
            <xm:f>AND(MONTH(DATE($G$1,9,ROW()-40))=9,COUNTIF(Feiertage!$A$2:$A$13,DATE($G$1,9,ROW()-40))&gt;0)</xm:f>
            <x14:dxf>
              <fill>
                <patternFill patternType="solid">
                  <fgColor rgb="FFDCE8C4"/>
                </patternFill>
              </fill>
            </x14:dxf>
          </x14:cfRule>
          <xm:sqref>C59</xm:sqref>
        </x14:conditionalFormatting>
        <x14:conditionalFormatting xmlns:xm="http://schemas.microsoft.com/office/excel/2006/main">
          <x14:cfRule type="expression" priority="803" stopIfTrue="1" id="{7F42EC78-D289-4EEB-994F-C117B2C54D83}">
            <xm:f>AND(MONTH(DATE($G$1,9,ROW()-40))=9,COUNTIF(Feiertage!$A$2:$A$13,DATE($G$1,9,ROW()-40))&gt;0)</xm:f>
            <x14:dxf>
              <fill>
                <patternFill patternType="solid">
                  <fgColor rgb="FFDCE8C4"/>
                </patternFill>
              </fill>
            </x14:dxf>
          </x14:cfRule>
          <xm:sqref>C60</xm:sqref>
        </x14:conditionalFormatting>
        <x14:conditionalFormatting xmlns:xm="http://schemas.microsoft.com/office/excel/2006/main">
          <x14:cfRule type="expression" priority="806" stopIfTrue="1" id="{5E4B4FB4-1CB5-49FE-8274-FB478C193476}">
            <xm:f>AND(MONTH(DATE($G$1,9,ROW()-40))=9,COUNTIF(Feiertage!$A$2:$A$13,DATE($G$1,9,ROW()-40))&gt;0)</xm:f>
            <x14:dxf>
              <fill>
                <patternFill patternType="solid">
                  <fgColor rgb="FFDCE8C4"/>
                </patternFill>
              </fill>
            </x14:dxf>
          </x14:cfRule>
          <xm:sqref>C61</xm:sqref>
        </x14:conditionalFormatting>
        <x14:conditionalFormatting xmlns:xm="http://schemas.microsoft.com/office/excel/2006/main">
          <x14:cfRule type="expression" priority="809" stopIfTrue="1" id="{64773ED7-4BEC-4748-87D7-4498D921D033}">
            <xm:f>AND(MONTH(DATE($G$1,9,ROW()-40))=9,COUNTIF(Feiertage!$A$2:$A$13,DATE($G$1,9,ROW()-40))&gt;0)</xm:f>
            <x14:dxf>
              <fill>
                <patternFill patternType="solid">
                  <fgColor rgb="FFDCE8C4"/>
                </patternFill>
              </fill>
            </x14:dxf>
          </x14:cfRule>
          <xm:sqref>C62</xm:sqref>
        </x14:conditionalFormatting>
        <x14:conditionalFormatting xmlns:xm="http://schemas.microsoft.com/office/excel/2006/main">
          <x14:cfRule type="expression" priority="812" stopIfTrue="1" id="{26B65C3B-8447-49F5-8D2E-DA47D6971A3B}">
            <xm:f>AND(MONTH(DATE($G$1,9,ROW()-40))=9,COUNTIF(Feiertage!$A$2:$A$13,DATE($G$1,9,ROW()-40))&gt;0)</xm:f>
            <x14:dxf>
              <fill>
                <patternFill patternType="solid">
                  <fgColor rgb="FFDCE8C4"/>
                </patternFill>
              </fill>
            </x14:dxf>
          </x14:cfRule>
          <xm:sqref>C63</xm:sqref>
        </x14:conditionalFormatting>
        <x14:conditionalFormatting xmlns:xm="http://schemas.microsoft.com/office/excel/2006/main">
          <x14:cfRule type="expression" priority="815" stopIfTrue="1" id="{3A79C4AD-50CD-4E45-97B5-75436E903718}">
            <xm:f>AND(MONTH(DATE($G$1,9,ROW()-40))=9,COUNTIF(Feiertage!$A$2:$A$13,DATE($G$1,9,ROW()-40))&gt;0)</xm:f>
            <x14:dxf>
              <fill>
                <patternFill patternType="solid">
                  <fgColor rgb="FFDCE8C4"/>
                </patternFill>
              </fill>
            </x14:dxf>
          </x14:cfRule>
          <xm:sqref>C64</xm:sqref>
        </x14:conditionalFormatting>
        <x14:conditionalFormatting xmlns:xm="http://schemas.microsoft.com/office/excel/2006/main">
          <x14:cfRule type="expression" priority="818" stopIfTrue="1" id="{CDEBD559-6FC3-46C0-B36B-6DA39D9BB14E}">
            <xm:f>AND(MONTH(DATE($G$1,9,ROW()-40))=9,COUNTIF(Feiertage!$A$2:$A$13,DATE($G$1,9,ROW()-40))&gt;0)</xm:f>
            <x14:dxf>
              <fill>
                <patternFill patternType="solid">
                  <fgColor rgb="FFDCE8C4"/>
                </patternFill>
              </fill>
            </x14:dxf>
          </x14:cfRule>
          <xm:sqref>C65</xm:sqref>
        </x14:conditionalFormatting>
        <x14:conditionalFormatting xmlns:xm="http://schemas.microsoft.com/office/excel/2006/main">
          <x14:cfRule type="expression" priority="821" stopIfTrue="1" id="{BA04B0D8-B2CA-4622-8A79-A9F97F542EA8}">
            <xm:f>AND(MONTH(DATE($G$1,9,ROW()-40))=9,COUNTIF(Feiertage!$A$2:$A$13,DATE($G$1,9,ROW()-40))&gt;0)</xm:f>
            <x14:dxf>
              <fill>
                <patternFill patternType="solid">
                  <fgColor rgb="FFDCE8C4"/>
                </patternFill>
              </fill>
            </x14:dxf>
          </x14:cfRule>
          <xm:sqref>C66</xm:sqref>
        </x14:conditionalFormatting>
        <x14:conditionalFormatting xmlns:xm="http://schemas.microsoft.com/office/excel/2006/main">
          <x14:cfRule type="expression" priority="824" stopIfTrue="1" id="{BBE586EF-0E7F-4FE9-880D-901FC5AA6108}">
            <xm:f>AND(MONTH(DATE($G$1,9,ROW()-40))=9,COUNTIF(Feiertage!$A$2:$A$13,DATE($G$1,9,ROW()-40))&gt;0)</xm:f>
            <x14:dxf>
              <fill>
                <patternFill patternType="solid">
                  <fgColor rgb="FFDCE8C4"/>
                </patternFill>
              </fill>
            </x14:dxf>
          </x14:cfRule>
          <xm:sqref>C67</xm:sqref>
        </x14:conditionalFormatting>
        <x14:conditionalFormatting xmlns:xm="http://schemas.microsoft.com/office/excel/2006/main">
          <x14:cfRule type="expression" priority="827" stopIfTrue="1" id="{FF429CDE-03C8-4C59-8936-939C80C8CFF3}">
            <xm:f>AND(MONTH(DATE($G$1,9,ROW()-40))=9,COUNTIF(Feiertage!$A$2:$A$13,DATE($G$1,9,ROW()-40))&gt;0)</xm:f>
            <x14:dxf>
              <fill>
                <patternFill patternType="solid">
                  <fgColor rgb="FFDCE8C4"/>
                </patternFill>
              </fill>
            </x14:dxf>
          </x14:cfRule>
          <xm:sqref>C68</xm:sqref>
        </x14:conditionalFormatting>
        <x14:conditionalFormatting xmlns:xm="http://schemas.microsoft.com/office/excel/2006/main">
          <x14:cfRule type="expression" priority="830" stopIfTrue="1" id="{0BBACE60-033E-4932-B3EC-F93659267303}">
            <xm:f>AND(MONTH(DATE($G$1,9,ROW()-40))=9,COUNTIF(Feiertage!$A$2:$A$13,DATE($G$1,9,ROW()-40))&gt;0)</xm:f>
            <x14:dxf>
              <fill>
                <patternFill patternType="solid">
                  <fgColor rgb="FFDCE8C4"/>
                </patternFill>
              </fill>
            </x14:dxf>
          </x14:cfRule>
          <xm:sqref>C69</xm:sqref>
        </x14:conditionalFormatting>
        <x14:conditionalFormatting xmlns:xm="http://schemas.microsoft.com/office/excel/2006/main">
          <x14:cfRule type="expression" priority="833" stopIfTrue="1" id="{D0326A37-E781-4BB0-9836-825B9137B5D1}">
            <xm:f>AND(MONTH(DATE($G$1,9,ROW()-40))=9,COUNTIF(Feiertage!$A$2:$A$13,DATE($G$1,9,ROW()-40))&gt;0)</xm:f>
            <x14:dxf>
              <fill>
                <patternFill patternType="solid">
                  <fgColor rgb="FFDCE8C4"/>
                </patternFill>
              </fill>
            </x14:dxf>
          </x14:cfRule>
          <xm:sqref>C70</xm:sqref>
        </x14:conditionalFormatting>
        <x14:conditionalFormatting xmlns:xm="http://schemas.microsoft.com/office/excel/2006/main">
          <x14:cfRule type="expression" priority="836" stopIfTrue="1" id="{D4833428-95F0-4E5F-8537-9EA44848CD4D}">
            <xm:f>AND(MONTH(DATE($G$1,9,ROW()-40))=9,COUNTIF(Feiertage!$A$2:$A$13,DATE($G$1,9,ROW()-40))&gt;0)</xm:f>
            <x14:dxf>
              <fill>
                <patternFill patternType="solid">
                  <fgColor rgb="FFDCE8C4"/>
                </patternFill>
              </fill>
            </x14:dxf>
          </x14:cfRule>
          <xm:sqref>C71</xm:sqref>
        </x14:conditionalFormatting>
        <x14:conditionalFormatting xmlns:xm="http://schemas.microsoft.com/office/excel/2006/main">
          <x14:cfRule type="expression" priority="839" stopIfTrue="1" id="{931945F0-9D69-45EB-ACAF-A62EFB8E9519}">
            <xm:f>AND(MONTH(DATE($G$1,10,ROW()-40))=10,COUNTIF(Feiertage!$A$2:$A$13,DATE($G$1,10,ROW()-40))&gt;0)</xm:f>
            <x14:dxf>
              <fill>
                <patternFill patternType="solid">
                  <fgColor rgb="FFDCE8C4"/>
                </patternFill>
              </fill>
            </x14:dxf>
          </x14:cfRule>
          <xm:sqref>D41</xm:sqref>
        </x14:conditionalFormatting>
        <x14:conditionalFormatting xmlns:xm="http://schemas.microsoft.com/office/excel/2006/main">
          <x14:cfRule type="expression" priority="842" stopIfTrue="1" id="{03CCC3B5-E104-4761-BA05-BFF37CED12B9}">
            <xm:f>AND(MONTH(DATE($G$1,10,ROW()-40))=10,COUNTIF(Feiertage!$A$2:$A$13,DATE($G$1,10,ROW()-40))&gt;0)</xm:f>
            <x14:dxf>
              <fill>
                <patternFill patternType="solid">
                  <fgColor rgb="FFDCE8C4"/>
                </patternFill>
              </fill>
            </x14:dxf>
          </x14:cfRule>
          <xm:sqref>D42</xm:sqref>
        </x14:conditionalFormatting>
        <x14:conditionalFormatting xmlns:xm="http://schemas.microsoft.com/office/excel/2006/main">
          <x14:cfRule type="expression" priority="845" stopIfTrue="1" id="{2746AB28-1DE9-45CE-80F1-809F410CCEEB}">
            <xm:f>AND(MONTH(DATE($G$1,10,ROW()-40))=10,COUNTIF(Feiertage!$A$2:$A$13,DATE($G$1,10,ROW()-40))&gt;0)</xm:f>
            <x14:dxf>
              <fill>
                <patternFill patternType="solid">
                  <fgColor rgb="FFDCE8C4"/>
                </patternFill>
              </fill>
            </x14:dxf>
          </x14:cfRule>
          <xm:sqref>D43</xm:sqref>
        </x14:conditionalFormatting>
        <x14:conditionalFormatting xmlns:xm="http://schemas.microsoft.com/office/excel/2006/main">
          <x14:cfRule type="expression" priority="848" stopIfTrue="1" id="{EC94BADB-8BD4-4238-91CD-5648C199C048}">
            <xm:f>AND(MONTH(DATE($G$1,10,ROW()-40))=10,COUNTIF(Feiertage!$A$2:$A$13,DATE($G$1,10,ROW()-40))&gt;0)</xm:f>
            <x14:dxf>
              <fill>
                <patternFill patternType="solid">
                  <fgColor rgb="FFDCE8C4"/>
                </patternFill>
              </fill>
            </x14:dxf>
          </x14:cfRule>
          <xm:sqref>D44</xm:sqref>
        </x14:conditionalFormatting>
        <x14:conditionalFormatting xmlns:xm="http://schemas.microsoft.com/office/excel/2006/main">
          <x14:cfRule type="expression" priority="851" stopIfTrue="1" id="{46905B48-400E-4890-BB9D-6792A46A91B3}">
            <xm:f>AND(MONTH(DATE($G$1,10,ROW()-40))=10,COUNTIF(Feiertage!$A$2:$A$13,DATE($G$1,10,ROW()-40))&gt;0)</xm:f>
            <x14:dxf>
              <fill>
                <patternFill patternType="solid">
                  <fgColor rgb="FFDCE8C4"/>
                </patternFill>
              </fill>
            </x14:dxf>
          </x14:cfRule>
          <xm:sqref>D45</xm:sqref>
        </x14:conditionalFormatting>
        <x14:conditionalFormatting xmlns:xm="http://schemas.microsoft.com/office/excel/2006/main">
          <x14:cfRule type="expression" priority="854" stopIfTrue="1" id="{708507C1-E356-4675-9E9B-E6F28A648A69}">
            <xm:f>AND(MONTH(DATE($G$1,10,ROW()-40))=10,COUNTIF(Feiertage!$A$2:$A$13,DATE($G$1,10,ROW()-40))&gt;0)</xm:f>
            <x14:dxf>
              <fill>
                <patternFill patternType="solid">
                  <fgColor rgb="FFDCE8C4"/>
                </patternFill>
              </fill>
            </x14:dxf>
          </x14:cfRule>
          <xm:sqref>D46</xm:sqref>
        </x14:conditionalFormatting>
        <x14:conditionalFormatting xmlns:xm="http://schemas.microsoft.com/office/excel/2006/main">
          <x14:cfRule type="expression" priority="857" stopIfTrue="1" id="{BF7AF906-6DB5-49C5-82BD-23C3CD4521CB}">
            <xm:f>AND(MONTH(DATE($G$1,10,ROW()-40))=10,COUNTIF(Feiertage!$A$2:$A$13,DATE($G$1,10,ROW()-40))&gt;0)</xm:f>
            <x14:dxf>
              <fill>
                <patternFill patternType="solid">
                  <fgColor rgb="FFDCE8C4"/>
                </patternFill>
              </fill>
            </x14:dxf>
          </x14:cfRule>
          <xm:sqref>D47</xm:sqref>
        </x14:conditionalFormatting>
        <x14:conditionalFormatting xmlns:xm="http://schemas.microsoft.com/office/excel/2006/main">
          <x14:cfRule type="expression" priority="860" stopIfTrue="1" id="{2D0EE691-FC61-48D4-943C-84103F5B4FD2}">
            <xm:f>AND(MONTH(DATE($G$1,10,ROW()-40))=10,COUNTIF(Feiertage!$A$2:$A$13,DATE($G$1,10,ROW()-40))&gt;0)</xm:f>
            <x14:dxf>
              <fill>
                <patternFill patternType="solid">
                  <fgColor rgb="FFDCE8C4"/>
                </patternFill>
              </fill>
            </x14:dxf>
          </x14:cfRule>
          <xm:sqref>D48</xm:sqref>
        </x14:conditionalFormatting>
        <x14:conditionalFormatting xmlns:xm="http://schemas.microsoft.com/office/excel/2006/main">
          <x14:cfRule type="expression" priority="863" stopIfTrue="1" id="{4233E9F0-1387-4D5B-AAB6-17BDB0D5D309}">
            <xm:f>AND(MONTH(DATE($G$1,10,ROW()-40))=10,COUNTIF(Feiertage!$A$2:$A$13,DATE($G$1,10,ROW()-40))&gt;0)</xm:f>
            <x14:dxf>
              <fill>
                <patternFill patternType="solid">
                  <fgColor rgb="FFDCE8C4"/>
                </patternFill>
              </fill>
            </x14:dxf>
          </x14:cfRule>
          <xm:sqref>D49</xm:sqref>
        </x14:conditionalFormatting>
        <x14:conditionalFormatting xmlns:xm="http://schemas.microsoft.com/office/excel/2006/main">
          <x14:cfRule type="expression" priority="866" stopIfTrue="1" id="{744CEAA3-CE97-418A-8B92-08B77AE911DB}">
            <xm:f>AND(MONTH(DATE($G$1,10,ROW()-40))=10,COUNTIF(Feiertage!$A$2:$A$13,DATE($G$1,10,ROW()-40))&gt;0)</xm:f>
            <x14:dxf>
              <fill>
                <patternFill patternType="solid">
                  <fgColor rgb="FFDCE8C4"/>
                </patternFill>
              </fill>
            </x14:dxf>
          </x14:cfRule>
          <xm:sqref>D50</xm:sqref>
        </x14:conditionalFormatting>
        <x14:conditionalFormatting xmlns:xm="http://schemas.microsoft.com/office/excel/2006/main">
          <x14:cfRule type="expression" priority="869" stopIfTrue="1" id="{7E83047B-D385-42AA-8E67-A5F88D0518A3}">
            <xm:f>AND(MONTH(DATE($G$1,10,ROW()-40))=10,COUNTIF(Feiertage!$A$2:$A$13,DATE($G$1,10,ROW()-40))&gt;0)</xm:f>
            <x14:dxf>
              <fill>
                <patternFill patternType="solid">
                  <fgColor rgb="FFDCE8C4"/>
                </patternFill>
              </fill>
            </x14:dxf>
          </x14:cfRule>
          <xm:sqref>D51</xm:sqref>
        </x14:conditionalFormatting>
        <x14:conditionalFormatting xmlns:xm="http://schemas.microsoft.com/office/excel/2006/main">
          <x14:cfRule type="expression" priority="872" stopIfTrue="1" id="{976E8FC8-B046-496C-BB33-7ECAB7B11D82}">
            <xm:f>AND(MONTH(DATE($G$1,10,ROW()-40))=10,COUNTIF(Feiertage!$A$2:$A$13,DATE($G$1,10,ROW()-40))&gt;0)</xm:f>
            <x14:dxf>
              <fill>
                <patternFill patternType="solid">
                  <fgColor rgb="FFDCE8C4"/>
                </patternFill>
              </fill>
            </x14:dxf>
          </x14:cfRule>
          <xm:sqref>D52</xm:sqref>
        </x14:conditionalFormatting>
        <x14:conditionalFormatting xmlns:xm="http://schemas.microsoft.com/office/excel/2006/main">
          <x14:cfRule type="expression" priority="875" stopIfTrue="1" id="{75360330-11F0-40BD-8B29-901A48DC7D87}">
            <xm:f>AND(MONTH(DATE($G$1,10,ROW()-40))=10,COUNTIF(Feiertage!$A$2:$A$13,DATE($G$1,10,ROW()-40))&gt;0)</xm:f>
            <x14:dxf>
              <fill>
                <patternFill patternType="solid">
                  <fgColor rgb="FFDCE8C4"/>
                </patternFill>
              </fill>
            </x14:dxf>
          </x14:cfRule>
          <xm:sqref>D53</xm:sqref>
        </x14:conditionalFormatting>
        <x14:conditionalFormatting xmlns:xm="http://schemas.microsoft.com/office/excel/2006/main">
          <x14:cfRule type="expression" priority="878" stopIfTrue="1" id="{32F5B6D1-9401-4BA6-83D1-3F2C9DE91050}">
            <xm:f>AND(MONTH(DATE($G$1,10,ROW()-40))=10,COUNTIF(Feiertage!$A$2:$A$13,DATE($G$1,10,ROW()-40))&gt;0)</xm:f>
            <x14:dxf>
              <fill>
                <patternFill patternType="solid">
                  <fgColor rgb="FFDCE8C4"/>
                </patternFill>
              </fill>
            </x14:dxf>
          </x14:cfRule>
          <xm:sqref>D54</xm:sqref>
        </x14:conditionalFormatting>
        <x14:conditionalFormatting xmlns:xm="http://schemas.microsoft.com/office/excel/2006/main">
          <x14:cfRule type="expression" priority="881" stopIfTrue="1" id="{89742D8E-FD08-4D49-B68E-A6015DAD3E9A}">
            <xm:f>AND(MONTH(DATE($G$1,10,ROW()-40))=10,COUNTIF(Feiertage!$A$2:$A$13,DATE($G$1,10,ROW()-40))&gt;0)</xm:f>
            <x14:dxf>
              <fill>
                <patternFill patternType="solid">
                  <fgColor rgb="FFDCE8C4"/>
                </patternFill>
              </fill>
            </x14:dxf>
          </x14:cfRule>
          <xm:sqref>D55</xm:sqref>
        </x14:conditionalFormatting>
        <x14:conditionalFormatting xmlns:xm="http://schemas.microsoft.com/office/excel/2006/main">
          <x14:cfRule type="expression" priority="884" stopIfTrue="1" id="{7B080E83-E28A-4D01-9147-420BF56046E9}">
            <xm:f>AND(MONTH(DATE($G$1,10,ROW()-40))=10,COUNTIF(Feiertage!$A$2:$A$13,DATE($G$1,10,ROW()-40))&gt;0)</xm:f>
            <x14:dxf>
              <fill>
                <patternFill patternType="solid">
                  <fgColor rgb="FFDCE8C4"/>
                </patternFill>
              </fill>
            </x14:dxf>
          </x14:cfRule>
          <xm:sqref>D56</xm:sqref>
        </x14:conditionalFormatting>
        <x14:conditionalFormatting xmlns:xm="http://schemas.microsoft.com/office/excel/2006/main">
          <x14:cfRule type="expression" priority="887" stopIfTrue="1" id="{76CCE991-1635-4DA5-902B-AF8972140E8A}">
            <xm:f>AND(MONTH(DATE($G$1,10,ROW()-40))=10,COUNTIF(Feiertage!$A$2:$A$13,DATE($G$1,10,ROW()-40))&gt;0)</xm:f>
            <x14:dxf>
              <fill>
                <patternFill patternType="solid">
                  <fgColor rgb="FFDCE8C4"/>
                </patternFill>
              </fill>
            </x14:dxf>
          </x14:cfRule>
          <xm:sqref>D57</xm:sqref>
        </x14:conditionalFormatting>
        <x14:conditionalFormatting xmlns:xm="http://schemas.microsoft.com/office/excel/2006/main">
          <x14:cfRule type="expression" priority="890" stopIfTrue="1" id="{2E87CC04-9A84-4F72-9F4C-B20A586AF17E}">
            <xm:f>AND(MONTH(DATE($G$1,10,ROW()-40))=10,COUNTIF(Feiertage!$A$2:$A$13,DATE($G$1,10,ROW()-40))&gt;0)</xm:f>
            <x14:dxf>
              <fill>
                <patternFill patternType="solid">
                  <fgColor rgb="FFDCE8C4"/>
                </patternFill>
              </fill>
            </x14:dxf>
          </x14:cfRule>
          <xm:sqref>D58</xm:sqref>
        </x14:conditionalFormatting>
        <x14:conditionalFormatting xmlns:xm="http://schemas.microsoft.com/office/excel/2006/main">
          <x14:cfRule type="expression" priority="893" stopIfTrue="1" id="{4316EAE0-1ECD-430D-AA2C-9D1F2596619B}">
            <xm:f>AND(MONTH(DATE($G$1,10,ROW()-40))=10,COUNTIF(Feiertage!$A$2:$A$13,DATE($G$1,10,ROW()-40))&gt;0)</xm:f>
            <x14:dxf>
              <fill>
                <patternFill patternType="solid">
                  <fgColor rgb="FFDCE8C4"/>
                </patternFill>
              </fill>
            </x14:dxf>
          </x14:cfRule>
          <xm:sqref>D59</xm:sqref>
        </x14:conditionalFormatting>
        <x14:conditionalFormatting xmlns:xm="http://schemas.microsoft.com/office/excel/2006/main">
          <x14:cfRule type="expression" priority="896" stopIfTrue="1" id="{88885215-2707-4F66-8864-F6D256DB3140}">
            <xm:f>AND(MONTH(DATE($G$1,10,ROW()-40))=10,COUNTIF(Feiertage!$A$2:$A$13,DATE($G$1,10,ROW()-40))&gt;0)</xm:f>
            <x14:dxf>
              <fill>
                <patternFill patternType="solid">
                  <fgColor rgb="FFDCE8C4"/>
                </patternFill>
              </fill>
            </x14:dxf>
          </x14:cfRule>
          <xm:sqref>D60</xm:sqref>
        </x14:conditionalFormatting>
        <x14:conditionalFormatting xmlns:xm="http://schemas.microsoft.com/office/excel/2006/main">
          <x14:cfRule type="expression" priority="899" stopIfTrue="1" id="{1166022D-EA5B-4260-81C8-B1FE9BFA576A}">
            <xm:f>AND(MONTH(DATE($G$1,10,ROW()-40))=10,COUNTIF(Feiertage!$A$2:$A$13,DATE($G$1,10,ROW()-40))&gt;0)</xm:f>
            <x14:dxf>
              <fill>
                <patternFill patternType="solid">
                  <fgColor rgb="FFDCE8C4"/>
                </patternFill>
              </fill>
            </x14:dxf>
          </x14:cfRule>
          <xm:sqref>D61</xm:sqref>
        </x14:conditionalFormatting>
        <x14:conditionalFormatting xmlns:xm="http://schemas.microsoft.com/office/excel/2006/main">
          <x14:cfRule type="expression" priority="902" stopIfTrue="1" id="{99FFCCE4-8D21-4213-9925-40212A861375}">
            <xm:f>AND(MONTH(DATE($G$1,10,ROW()-40))=10,COUNTIF(Feiertage!$A$2:$A$13,DATE($G$1,10,ROW()-40))&gt;0)</xm:f>
            <x14:dxf>
              <fill>
                <patternFill patternType="solid">
                  <fgColor rgb="FFDCE8C4"/>
                </patternFill>
              </fill>
            </x14:dxf>
          </x14:cfRule>
          <xm:sqref>D62</xm:sqref>
        </x14:conditionalFormatting>
        <x14:conditionalFormatting xmlns:xm="http://schemas.microsoft.com/office/excel/2006/main">
          <x14:cfRule type="expression" priority="905" stopIfTrue="1" id="{420498C4-8008-4AC7-8C0B-8A433ABE5BB8}">
            <xm:f>AND(MONTH(DATE($G$1,10,ROW()-40))=10,COUNTIF(Feiertage!$A$2:$A$13,DATE($G$1,10,ROW()-40))&gt;0)</xm:f>
            <x14:dxf>
              <fill>
                <patternFill patternType="solid">
                  <fgColor rgb="FFDCE8C4"/>
                </patternFill>
              </fill>
            </x14:dxf>
          </x14:cfRule>
          <xm:sqref>D63</xm:sqref>
        </x14:conditionalFormatting>
        <x14:conditionalFormatting xmlns:xm="http://schemas.microsoft.com/office/excel/2006/main">
          <x14:cfRule type="expression" priority="908" stopIfTrue="1" id="{70E3BCB1-F28F-494A-8627-7C6E4A371E39}">
            <xm:f>AND(MONTH(DATE($G$1,10,ROW()-40))=10,COUNTIF(Feiertage!$A$2:$A$13,DATE($G$1,10,ROW()-40))&gt;0)</xm:f>
            <x14:dxf>
              <fill>
                <patternFill patternType="solid">
                  <fgColor rgb="FFDCE8C4"/>
                </patternFill>
              </fill>
            </x14:dxf>
          </x14:cfRule>
          <xm:sqref>D64</xm:sqref>
        </x14:conditionalFormatting>
        <x14:conditionalFormatting xmlns:xm="http://schemas.microsoft.com/office/excel/2006/main">
          <x14:cfRule type="expression" priority="911" stopIfTrue="1" id="{4F14BBAF-9E15-4C20-BD83-809B18DECCB6}">
            <xm:f>AND(MONTH(DATE($G$1,10,ROW()-40))=10,COUNTIF(Feiertage!$A$2:$A$13,DATE($G$1,10,ROW()-40))&gt;0)</xm:f>
            <x14:dxf>
              <fill>
                <patternFill patternType="solid">
                  <fgColor rgb="FFDCE8C4"/>
                </patternFill>
              </fill>
            </x14:dxf>
          </x14:cfRule>
          <xm:sqref>D65</xm:sqref>
        </x14:conditionalFormatting>
        <x14:conditionalFormatting xmlns:xm="http://schemas.microsoft.com/office/excel/2006/main">
          <x14:cfRule type="expression" priority="914" stopIfTrue="1" id="{D99814D1-4467-4076-9E66-E61FA5408F73}">
            <xm:f>AND(MONTH(DATE($G$1,10,ROW()-40))=10,COUNTIF(Feiertage!$A$2:$A$13,DATE($G$1,10,ROW()-40))&gt;0)</xm:f>
            <x14:dxf>
              <fill>
                <patternFill patternType="solid">
                  <fgColor rgb="FFDCE8C4"/>
                </patternFill>
              </fill>
            </x14:dxf>
          </x14:cfRule>
          <xm:sqref>D66</xm:sqref>
        </x14:conditionalFormatting>
        <x14:conditionalFormatting xmlns:xm="http://schemas.microsoft.com/office/excel/2006/main">
          <x14:cfRule type="expression" priority="917" stopIfTrue="1" id="{73670EEF-A945-4F07-B5FB-0C4207F742A0}">
            <xm:f>AND(MONTH(DATE($G$1,10,ROW()-40))=10,COUNTIF(Feiertage!$A$2:$A$13,DATE($G$1,10,ROW()-40))&gt;0)</xm:f>
            <x14:dxf>
              <fill>
                <patternFill patternType="solid">
                  <fgColor rgb="FFDCE8C4"/>
                </patternFill>
              </fill>
            </x14:dxf>
          </x14:cfRule>
          <xm:sqref>D67</xm:sqref>
        </x14:conditionalFormatting>
        <x14:conditionalFormatting xmlns:xm="http://schemas.microsoft.com/office/excel/2006/main">
          <x14:cfRule type="expression" priority="920" stopIfTrue="1" id="{42B0D03F-ED8C-4195-9F9C-FF685ACB7F5C}">
            <xm:f>AND(MONTH(DATE($G$1,10,ROW()-40))=10,COUNTIF(Feiertage!$A$2:$A$13,DATE($G$1,10,ROW()-40))&gt;0)</xm:f>
            <x14:dxf>
              <fill>
                <patternFill patternType="solid">
                  <fgColor rgb="FFDCE8C4"/>
                </patternFill>
              </fill>
            </x14:dxf>
          </x14:cfRule>
          <xm:sqref>D68</xm:sqref>
        </x14:conditionalFormatting>
        <x14:conditionalFormatting xmlns:xm="http://schemas.microsoft.com/office/excel/2006/main">
          <x14:cfRule type="expression" priority="923" stopIfTrue="1" id="{89D3E391-9EC8-4B46-A413-A6DAE87F0C80}">
            <xm:f>AND(MONTH(DATE($G$1,10,ROW()-40))=10,COUNTIF(Feiertage!$A$2:$A$13,DATE($G$1,10,ROW()-40))&gt;0)</xm:f>
            <x14:dxf>
              <fill>
                <patternFill patternType="solid">
                  <fgColor rgb="FFDCE8C4"/>
                </patternFill>
              </fill>
            </x14:dxf>
          </x14:cfRule>
          <xm:sqref>D69</xm:sqref>
        </x14:conditionalFormatting>
        <x14:conditionalFormatting xmlns:xm="http://schemas.microsoft.com/office/excel/2006/main">
          <x14:cfRule type="expression" priority="926" stopIfTrue="1" id="{8F741503-17FD-46CE-B992-49485BC6F60F}">
            <xm:f>AND(MONTH(DATE($G$1,10,ROW()-40))=10,COUNTIF(Feiertage!$A$2:$A$13,DATE($G$1,10,ROW()-40))&gt;0)</xm:f>
            <x14:dxf>
              <fill>
                <patternFill patternType="solid">
                  <fgColor rgb="FFDCE8C4"/>
                </patternFill>
              </fill>
            </x14:dxf>
          </x14:cfRule>
          <xm:sqref>D70</xm:sqref>
        </x14:conditionalFormatting>
        <x14:conditionalFormatting xmlns:xm="http://schemas.microsoft.com/office/excel/2006/main">
          <x14:cfRule type="expression" priority="929" stopIfTrue="1" id="{90E3CB68-D0F8-444B-BA3E-926B89E46C3A}">
            <xm:f>AND(MONTH(DATE($G$1,10,ROW()-40))=10,COUNTIF(Feiertage!$A$2:$A$13,DATE($G$1,10,ROW()-40))&gt;0)</xm:f>
            <x14:dxf>
              <fill>
                <patternFill patternType="solid">
                  <fgColor rgb="FFDCE8C4"/>
                </patternFill>
              </fill>
            </x14:dxf>
          </x14:cfRule>
          <xm:sqref>D71</xm:sqref>
        </x14:conditionalFormatting>
        <x14:conditionalFormatting xmlns:xm="http://schemas.microsoft.com/office/excel/2006/main">
          <x14:cfRule type="expression" priority="932" stopIfTrue="1" id="{92D43B26-CAE3-4C48-BC83-8C81A5733158}">
            <xm:f>AND(MONTH(DATE($G$1,11,ROW()-40))=11,COUNTIF(Feiertage!$A$2:$A$13,DATE($G$1,11,ROW()-40))&gt;0)</xm:f>
            <x14:dxf>
              <fill>
                <patternFill patternType="solid">
                  <fgColor rgb="FFDCE8C4"/>
                </patternFill>
              </fill>
            </x14:dxf>
          </x14:cfRule>
          <xm:sqref>E41</xm:sqref>
        </x14:conditionalFormatting>
        <x14:conditionalFormatting xmlns:xm="http://schemas.microsoft.com/office/excel/2006/main">
          <x14:cfRule type="expression" priority="935" stopIfTrue="1" id="{2A611FCA-2677-4D85-B1C7-218404B996AE}">
            <xm:f>AND(MONTH(DATE($G$1,11,ROW()-40))=11,COUNTIF(Feiertage!$A$2:$A$13,DATE($G$1,11,ROW()-40))&gt;0)</xm:f>
            <x14:dxf>
              <fill>
                <patternFill patternType="solid">
                  <fgColor rgb="FFDCE8C4"/>
                </patternFill>
              </fill>
            </x14:dxf>
          </x14:cfRule>
          <xm:sqref>E42</xm:sqref>
        </x14:conditionalFormatting>
        <x14:conditionalFormatting xmlns:xm="http://schemas.microsoft.com/office/excel/2006/main">
          <x14:cfRule type="expression" priority="938" stopIfTrue="1" id="{8BEA7D16-376D-4B66-A77D-A4D553BCCBFD}">
            <xm:f>AND(MONTH(DATE($G$1,11,ROW()-40))=11,COUNTIF(Feiertage!$A$2:$A$13,DATE($G$1,11,ROW()-40))&gt;0)</xm:f>
            <x14:dxf>
              <fill>
                <patternFill patternType="solid">
                  <fgColor rgb="FFDCE8C4"/>
                </patternFill>
              </fill>
            </x14:dxf>
          </x14:cfRule>
          <xm:sqref>E43</xm:sqref>
        </x14:conditionalFormatting>
        <x14:conditionalFormatting xmlns:xm="http://schemas.microsoft.com/office/excel/2006/main">
          <x14:cfRule type="expression" priority="941" stopIfTrue="1" id="{55AB4540-AA2C-4323-B93D-ABC3275E84BB}">
            <xm:f>AND(MONTH(DATE($G$1,11,ROW()-40))=11,COUNTIF(Feiertage!$A$2:$A$13,DATE($G$1,11,ROW()-40))&gt;0)</xm:f>
            <x14:dxf>
              <fill>
                <patternFill patternType="solid">
                  <fgColor rgb="FFDCE8C4"/>
                </patternFill>
              </fill>
            </x14:dxf>
          </x14:cfRule>
          <xm:sqref>E44</xm:sqref>
        </x14:conditionalFormatting>
        <x14:conditionalFormatting xmlns:xm="http://schemas.microsoft.com/office/excel/2006/main">
          <x14:cfRule type="expression" priority="944" stopIfTrue="1" id="{2EFD1CE4-0EE8-4D09-A2D6-4D02019BE1CC}">
            <xm:f>AND(MONTH(DATE($G$1,11,ROW()-40))=11,COUNTIF(Feiertage!$A$2:$A$13,DATE($G$1,11,ROW()-40))&gt;0)</xm:f>
            <x14:dxf>
              <fill>
                <patternFill patternType="solid">
                  <fgColor rgb="FFDCE8C4"/>
                </patternFill>
              </fill>
            </x14:dxf>
          </x14:cfRule>
          <xm:sqref>E45</xm:sqref>
        </x14:conditionalFormatting>
        <x14:conditionalFormatting xmlns:xm="http://schemas.microsoft.com/office/excel/2006/main">
          <x14:cfRule type="expression" priority="947" stopIfTrue="1" id="{CC127504-F3CB-4E39-809D-CD132FEACB67}">
            <xm:f>AND(MONTH(DATE($G$1,11,ROW()-40))=11,COUNTIF(Feiertage!$A$2:$A$13,DATE($G$1,11,ROW()-40))&gt;0)</xm:f>
            <x14:dxf>
              <fill>
                <patternFill patternType="solid">
                  <fgColor rgb="FFDCE8C4"/>
                </patternFill>
              </fill>
            </x14:dxf>
          </x14:cfRule>
          <xm:sqref>E46</xm:sqref>
        </x14:conditionalFormatting>
        <x14:conditionalFormatting xmlns:xm="http://schemas.microsoft.com/office/excel/2006/main">
          <x14:cfRule type="expression" priority="950" stopIfTrue="1" id="{7BCCE4D3-F531-445B-8DA2-62F0F1DB9A61}">
            <xm:f>AND(MONTH(DATE($G$1,11,ROW()-40))=11,COUNTIF(Feiertage!$A$2:$A$13,DATE($G$1,11,ROW()-40))&gt;0)</xm:f>
            <x14:dxf>
              <fill>
                <patternFill patternType="solid">
                  <fgColor rgb="FFDCE8C4"/>
                </patternFill>
              </fill>
            </x14:dxf>
          </x14:cfRule>
          <xm:sqref>E47</xm:sqref>
        </x14:conditionalFormatting>
        <x14:conditionalFormatting xmlns:xm="http://schemas.microsoft.com/office/excel/2006/main">
          <x14:cfRule type="expression" priority="953" stopIfTrue="1" id="{36807ACA-FE38-4651-B4BA-42BB711F78E8}">
            <xm:f>AND(MONTH(DATE($G$1,11,ROW()-40))=11,COUNTIF(Feiertage!$A$2:$A$13,DATE($G$1,11,ROW()-40))&gt;0)</xm:f>
            <x14:dxf>
              <fill>
                <patternFill patternType="solid">
                  <fgColor rgb="FFDCE8C4"/>
                </patternFill>
              </fill>
            </x14:dxf>
          </x14:cfRule>
          <xm:sqref>E48</xm:sqref>
        </x14:conditionalFormatting>
        <x14:conditionalFormatting xmlns:xm="http://schemas.microsoft.com/office/excel/2006/main">
          <x14:cfRule type="expression" priority="956" stopIfTrue="1" id="{7AF1507E-3FDB-4E8B-BC49-C0CCF41FB2DE}">
            <xm:f>AND(MONTH(DATE($G$1,11,ROW()-40))=11,COUNTIF(Feiertage!$A$2:$A$13,DATE($G$1,11,ROW()-40))&gt;0)</xm:f>
            <x14:dxf>
              <fill>
                <patternFill patternType="solid">
                  <fgColor rgb="FFDCE8C4"/>
                </patternFill>
              </fill>
            </x14:dxf>
          </x14:cfRule>
          <xm:sqref>E49</xm:sqref>
        </x14:conditionalFormatting>
        <x14:conditionalFormatting xmlns:xm="http://schemas.microsoft.com/office/excel/2006/main">
          <x14:cfRule type="expression" priority="959" stopIfTrue="1" id="{3274ED94-D31D-4A33-B74A-687D36AB1372}">
            <xm:f>AND(MONTH(DATE($G$1,11,ROW()-40))=11,COUNTIF(Feiertage!$A$2:$A$13,DATE($G$1,11,ROW()-40))&gt;0)</xm:f>
            <x14:dxf>
              <fill>
                <patternFill patternType="solid">
                  <fgColor rgb="FFDCE8C4"/>
                </patternFill>
              </fill>
            </x14:dxf>
          </x14:cfRule>
          <xm:sqref>E50</xm:sqref>
        </x14:conditionalFormatting>
        <x14:conditionalFormatting xmlns:xm="http://schemas.microsoft.com/office/excel/2006/main">
          <x14:cfRule type="expression" priority="962" stopIfTrue="1" id="{52C0C957-24AE-4DD2-92F2-2F7E00B4A88C}">
            <xm:f>AND(MONTH(DATE($G$1,11,ROW()-40))=11,COUNTIF(Feiertage!$A$2:$A$13,DATE($G$1,11,ROW()-40))&gt;0)</xm:f>
            <x14:dxf>
              <fill>
                <patternFill patternType="solid">
                  <fgColor rgb="FFDCE8C4"/>
                </patternFill>
              </fill>
            </x14:dxf>
          </x14:cfRule>
          <xm:sqref>E51</xm:sqref>
        </x14:conditionalFormatting>
        <x14:conditionalFormatting xmlns:xm="http://schemas.microsoft.com/office/excel/2006/main">
          <x14:cfRule type="expression" priority="965" stopIfTrue="1" id="{E96E6900-F4F1-4B93-8BE1-AEEFBD5EA098}">
            <xm:f>AND(MONTH(DATE($G$1,11,ROW()-40))=11,COUNTIF(Feiertage!$A$2:$A$13,DATE($G$1,11,ROW()-40))&gt;0)</xm:f>
            <x14:dxf>
              <fill>
                <patternFill patternType="solid">
                  <fgColor rgb="FFDCE8C4"/>
                </patternFill>
              </fill>
            </x14:dxf>
          </x14:cfRule>
          <xm:sqref>E52</xm:sqref>
        </x14:conditionalFormatting>
        <x14:conditionalFormatting xmlns:xm="http://schemas.microsoft.com/office/excel/2006/main">
          <x14:cfRule type="expression" priority="968" stopIfTrue="1" id="{1BE6FBC3-E21A-468A-A2A5-6F32C39808D6}">
            <xm:f>AND(MONTH(DATE($G$1,11,ROW()-40))=11,COUNTIF(Feiertage!$A$2:$A$13,DATE($G$1,11,ROW()-40))&gt;0)</xm:f>
            <x14:dxf>
              <fill>
                <patternFill patternType="solid">
                  <fgColor rgb="FFDCE8C4"/>
                </patternFill>
              </fill>
            </x14:dxf>
          </x14:cfRule>
          <xm:sqref>E53</xm:sqref>
        </x14:conditionalFormatting>
        <x14:conditionalFormatting xmlns:xm="http://schemas.microsoft.com/office/excel/2006/main">
          <x14:cfRule type="expression" priority="971" stopIfTrue="1" id="{1E877BA7-83F1-4E7C-9521-28FC146E1D36}">
            <xm:f>AND(MONTH(DATE($G$1,11,ROW()-40))=11,COUNTIF(Feiertage!$A$2:$A$13,DATE($G$1,11,ROW()-40))&gt;0)</xm:f>
            <x14:dxf>
              <fill>
                <patternFill patternType="solid">
                  <fgColor rgb="FFDCE8C4"/>
                </patternFill>
              </fill>
            </x14:dxf>
          </x14:cfRule>
          <xm:sqref>E54</xm:sqref>
        </x14:conditionalFormatting>
        <x14:conditionalFormatting xmlns:xm="http://schemas.microsoft.com/office/excel/2006/main">
          <x14:cfRule type="expression" priority="974" stopIfTrue="1" id="{98597CAC-7AAF-4A0B-A3CD-35C5670FA1C9}">
            <xm:f>AND(MONTH(DATE($G$1,11,ROW()-40))=11,COUNTIF(Feiertage!$A$2:$A$13,DATE($G$1,11,ROW()-40))&gt;0)</xm:f>
            <x14:dxf>
              <fill>
                <patternFill patternType="solid">
                  <fgColor rgb="FFDCE8C4"/>
                </patternFill>
              </fill>
            </x14:dxf>
          </x14:cfRule>
          <xm:sqref>E55</xm:sqref>
        </x14:conditionalFormatting>
        <x14:conditionalFormatting xmlns:xm="http://schemas.microsoft.com/office/excel/2006/main">
          <x14:cfRule type="expression" priority="977" stopIfTrue="1" id="{B1D8996B-DDED-4AA8-87D7-169483FDB8FD}">
            <xm:f>AND(MONTH(DATE($G$1,11,ROW()-40))=11,COUNTIF(Feiertage!$A$2:$A$13,DATE($G$1,11,ROW()-40))&gt;0)</xm:f>
            <x14:dxf>
              <fill>
                <patternFill patternType="solid">
                  <fgColor rgb="FFDCE8C4"/>
                </patternFill>
              </fill>
            </x14:dxf>
          </x14:cfRule>
          <xm:sqref>E56</xm:sqref>
        </x14:conditionalFormatting>
        <x14:conditionalFormatting xmlns:xm="http://schemas.microsoft.com/office/excel/2006/main">
          <x14:cfRule type="expression" priority="980" stopIfTrue="1" id="{96162CB0-0AA9-4F12-8EF2-EF5D22838DB4}">
            <xm:f>AND(MONTH(DATE($G$1,11,ROW()-40))=11,COUNTIF(Feiertage!$A$2:$A$13,DATE($G$1,11,ROW()-40))&gt;0)</xm:f>
            <x14:dxf>
              <fill>
                <patternFill patternType="solid">
                  <fgColor rgb="FFDCE8C4"/>
                </patternFill>
              </fill>
            </x14:dxf>
          </x14:cfRule>
          <xm:sqref>E57</xm:sqref>
        </x14:conditionalFormatting>
        <x14:conditionalFormatting xmlns:xm="http://schemas.microsoft.com/office/excel/2006/main">
          <x14:cfRule type="expression" priority="983" stopIfTrue="1" id="{DCF7C7B3-B854-4B2A-A776-F58B2F215FB6}">
            <xm:f>AND(MONTH(DATE($G$1,11,ROW()-40))=11,COUNTIF(Feiertage!$A$2:$A$13,DATE($G$1,11,ROW()-40))&gt;0)</xm:f>
            <x14:dxf>
              <fill>
                <patternFill patternType="solid">
                  <fgColor rgb="FFDCE8C4"/>
                </patternFill>
              </fill>
            </x14:dxf>
          </x14:cfRule>
          <xm:sqref>E58</xm:sqref>
        </x14:conditionalFormatting>
        <x14:conditionalFormatting xmlns:xm="http://schemas.microsoft.com/office/excel/2006/main">
          <x14:cfRule type="expression" priority="986" stopIfTrue="1" id="{C600789A-8B45-4C23-B189-343F9729E603}">
            <xm:f>AND(MONTH(DATE($G$1,11,ROW()-40))=11,COUNTIF(Feiertage!$A$2:$A$13,DATE($G$1,11,ROW()-40))&gt;0)</xm:f>
            <x14:dxf>
              <fill>
                <patternFill patternType="solid">
                  <fgColor rgb="FFDCE8C4"/>
                </patternFill>
              </fill>
            </x14:dxf>
          </x14:cfRule>
          <xm:sqref>E59</xm:sqref>
        </x14:conditionalFormatting>
        <x14:conditionalFormatting xmlns:xm="http://schemas.microsoft.com/office/excel/2006/main">
          <x14:cfRule type="expression" priority="989" stopIfTrue="1" id="{34C2AC18-D645-4AFD-B78C-38DF56C84B26}">
            <xm:f>AND(MONTH(DATE($G$1,11,ROW()-40))=11,COUNTIF(Feiertage!$A$2:$A$13,DATE($G$1,11,ROW()-40))&gt;0)</xm:f>
            <x14:dxf>
              <fill>
                <patternFill patternType="solid">
                  <fgColor rgb="FFDCE8C4"/>
                </patternFill>
              </fill>
            </x14:dxf>
          </x14:cfRule>
          <xm:sqref>E60</xm:sqref>
        </x14:conditionalFormatting>
        <x14:conditionalFormatting xmlns:xm="http://schemas.microsoft.com/office/excel/2006/main">
          <x14:cfRule type="expression" priority="992" stopIfTrue="1" id="{8548915B-0936-43C0-A86F-9EE6CA563660}">
            <xm:f>AND(MONTH(DATE($G$1,11,ROW()-40))=11,COUNTIF(Feiertage!$A$2:$A$13,DATE($G$1,11,ROW()-40))&gt;0)</xm:f>
            <x14:dxf>
              <fill>
                <patternFill patternType="solid">
                  <fgColor rgb="FFDCE8C4"/>
                </patternFill>
              </fill>
            </x14:dxf>
          </x14:cfRule>
          <xm:sqref>E61</xm:sqref>
        </x14:conditionalFormatting>
        <x14:conditionalFormatting xmlns:xm="http://schemas.microsoft.com/office/excel/2006/main">
          <x14:cfRule type="expression" priority="995" stopIfTrue="1" id="{2D9E2233-40A9-46FB-9F95-520CB93056BB}">
            <xm:f>AND(MONTH(DATE($G$1,11,ROW()-40))=11,COUNTIF(Feiertage!$A$2:$A$13,DATE($G$1,11,ROW()-40))&gt;0)</xm:f>
            <x14:dxf>
              <fill>
                <patternFill patternType="solid">
                  <fgColor rgb="FFDCE8C4"/>
                </patternFill>
              </fill>
            </x14:dxf>
          </x14:cfRule>
          <xm:sqref>E62</xm:sqref>
        </x14:conditionalFormatting>
        <x14:conditionalFormatting xmlns:xm="http://schemas.microsoft.com/office/excel/2006/main">
          <x14:cfRule type="expression" priority="998" stopIfTrue="1" id="{1FA1E95A-2DBA-455E-975C-81383201D3B1}">
            <xm:f>AND(MONTH(DATE($G$1,11,ROW()-40))=11,COUNTIF(Feiertage!$A$2:$A$13,DATE($G$1,11,ROW()-40))&gt;0)</xm:f>
            <x14:dxf>
              <fill>
                <patternFill patternType="solid">
                  <fgColor rgb="FFDCE8C4"/>
                </patternFill>
              </fill>
            </x14:dxf>
          </x14:cfRule>
          <xm:sqref>E63</xm:sqref>
        </x14:conditionalFormatting>
        <x14:conditionalFormatting xmlns:xm="http://schemas.microsoft.com/office/excel/2006/main">
          <x14:cfRule type="expression" priority="1001" stopIfTrue="1" id="{FEB09A8D-D912-4EC6-B772-35B8501071C0}">
            <xm:f>AND(MONTH(DATE($G$1,11,ROW()-40))=11,COUNTIF(Feiertage!$A$2:$A$13,DATE($G$1,11,ROW()-40))&gt;0)</xm:f>
            <x14:dxf>
              <fill>
                <patternFill patternType="solid">
                  <fgColor rgb="FFDCE8C4"/>
                </patternFill>
              </fill>
            </x14:dxf>
          </x14:cfRule>
          <xm:sqref>E64</xm:sqref>
        </x14:conditionalFormatting>
        <x14:conditionalFormatting xmlns:xm="http://schemas.microsoft.com/office/excel/2006/main">
          <x14:cfRule type="expression" priority="1004" stopIfTrue="1" id="{2095CC85-3C6E-4181-92CA-4485DDEC5315}">
            <xm:f>AND(MONTH(DATE($G$1,11,ROW()-40))=11,COUNTIF(Feiertage!$A$2:$A$13,DATE($G$1,11,ROW()-40))&gt;0)</xm:f>
            <x14:dxf>
              <fill>
                <patternFill patternType="solid">
                  <fgColor rgb="FFDCE8C4"/>
                </patternFill>
              </fill>
            </x14:dxf>
          </x14:cfRule>
          <xm:sqref>E65</xm:sqref>
        </x14:conditionalFormatting>
        <x14:conditionalFormatting xmlns:xm="http://schemas.microsoft.com/office/excel/2006/main">
          <x14:cfRule type="expression" priority="1007" stopIfTrue="1" id="{D84F6339-6DAD-4E28-B428-C6EEAAF216E9}">
            <xm:f>AND(MONTH(DATE($G$1,11,ROW()-40))=11,COUNTIF(Feiertage!$A$2:$A$13,DATE($G$1,11,ROW()-40))&gt;0)</xm:f>
            <x14:dxf>
              <fill>
                <patternFill patternType="solid">
                  <fgColor rgb="FFDCE8C4"/>
                </patternFill>
              </fill>
            </x14:dxf>
          </x14:cfRule>
          <xm:sqref>E66</xm:sqref>
        </x14:conditionalFormatting>
        <x14:conditionalFormatting xmlns:xm="http://schemas.microsoft.com/office/excel/2006/main">
          <x14:cfRule type="expression" priority="1010" stopIfTrue="1" id="{E3F3518D-F508-4F9E-8B79-A1538D587569}">
            <xm:f>AND(MONTH(DATE($G$1,11,ROW()-40))=11,COUNTIF(Feiertage!$A$2:$A$13,DATE($G$1,11,ROW()-40))&gt;0)</xm:f>
            <x14:dxf>
              <fill>
                <patternFill patternType="solid">
                  <fgColor rgb="FFDCE8C4"/>
                </patternFill>
              </fill>
            </x14:dxf>
          </x14:cfRule>
          <xm:sqref>E67</xm:sqref>
        </x14:conditionalFormatting>
        <x14:conditionalFormatting xmlns:xm="http://schemas.microsoft.com/office/excel/2006/main">
          <x14:cfRule type="expression" priority="1013" stopIfTrue="1" id="{4290FAF3-075B-4066-A466-60701C4ED6FE}">
            <xm:f>AND(MONTH(DATE($G$1,11,ROW()-40))=11,COUNTIF(Feiertage!$A$2:$A$13,DATE($G$1,11,ROW()-40))&gt;0)</xm:f>
            <x14:dxf>
              <fill>
                <patternFill patternType="solid">
                  <fgColor rgb="FFDCE8C4"/>
                </patternFill>
              </fill>
            </x14:dxf>
          </x14:cfRule>
          <xm:sqref>E68</xm:sqref>
        </x14:conditionalFormatting>
        <x14:conditionalFormatting xmlns:xm="http://schemas.microsoft.com/office/excel/2006/main">
          <x14:cfRule type="expression" priority="1016" stopIfTrue="1" id="{0A257EE3-7164-4B30-B8A0-C04F7FE16D31}">
            <xm:f>AND(MONTH(DATE($G$1,11,ROW()-40))=11,COUNTIF(Feiertage!$A$2:$A$13,DATE($G$1,11,ROW()-40))&gt;0)</xm:f>
            <x14:dxf>
              <fill>
                <patternFill patternType="solid">
                  <fgColor rgb="FFDCE8C4"/>
                </patternFill>
              </fill>
            </x14:dxf>
          </x14:cfRule>
          <xm:sqref>E69</xm:sqref>
        </x14:conditionalFormatting>
        <x14:conditionalFormatting xmlns:xm="http://schemas.microsoft.com/office/excel/2006/main">
          <x14:cfRule type="expression" priority="1019" stopIfTrue="1" id="{6816BB99-2AC8-45A1-AA34-61244CE5B988}">
            <xm:f>AND(MONTH(DATE($G$1,11,ROW()-40))=11,COUNTIF(Feiertage!$A$2:$A$13,DATE($G$1,11,ROW()-40))&gt;0)</xm:f>
            <x14:dxf>
              <fill>
                <patternFill patternType="solid">
                  <fgColor rgb="FFDCE8C4"/>
                </patternFill>
              </fill>
            </x14:dxf>
          </x14:cfRule>
          <xm:sqref>E70</xm:sqref>
        </x14:conditionalFormatting>
        <x14:conditionalFormatting xmlns:xm="http://schemas.microsoft.com/office/excel/2006/main">
          <x14:cfRule type="expression" priority="1022" stopIfTrue="1" id="{A8C57D1B-BBF7-45AD-A7F4-E87D24FC1C1B}">
            <xm:f>AND(MONTH(DATE($G$1,11,ROW()-40))=11,COUNTIF(Feiertage!$A$2:$A$13,DATE($G$1,11,ROW()-40))&gt;0)</xm:f>
            <x14:dxf>
              <fill>
                <patternFill patternType="solid">
                  <fgColor rgb="FFDCE8C4"/>
                </patternFill>
              </fill>
            </x14:dxf>
          </x14:cfRule>
          <xm:sqref>E71</xm:sqref>
        </x14:conditionalFormatting>
        <x14:conditionalFormatting xmlns:xm="http://schemas.microsoft.com/office/excel/2006/main">
          <x14:cfRule type="expression" priority="1025" stopIfTrue="1" id="{80DCCED1-92BB-4C67-84F4-27850D404D65}">
            <xm:f>AND(MONTH(DATE($G$1,12,ROW()-40))=12,COUNTIF(Feiertage!$A$2:$A$13,DATE($G$1,12,ROW()-40))&gt;0)</xm:f>
            <x14:dxf>
              <fill>
                <patternFill patternType="solid">
                  <fgColor rgb="FFDCE8C4"/>
                </patternFill>
              </fill>
            </x14:dxf>
          </x14:cfRule>
          <xm:sqref>F41</xm:sqref>
        </x14:conditionalFormatting>
        <x14:conditionalFormatting xmlns:xm="http://schemas.microsoft.com/office/excel/2006/main">
          <x14:cfRule type="expression" priority="1028" stopIfTrue="1" id="{5A9C84FA-0B2B-4366-8F82-148BEEFE4DE0}">
            <xm:f>AND(MONTH(DATE($G$1,12,ROW()-40))=12,COUNTIF(Feiertage!$A$2:$A$13,DATE($G$1,12,ROW()-40))&gt;0)</xm:f>
            <x14:dxf>
              <fill>
                <patternFill patternType="solid">
                  <fgColor rgb="FFDCE8C4"/>
                </patternFill>
              </fill>
            </x14:dxf>
          </x14:cfRule>
          <xm:sqref>F42</xm:sqref>
        </x14:conditionalFormatting>
        <x14:conditionalFormatting xmlns:xm="http://schemas.microsoft.com/office/excel/2006/main">
          <x14:cfRule type="expression" priority="1031" stopIfTrue="1" id="{9E660EDF-3C69-4480-BEE3-2A5197A32DA4}">
            <xm:f>AND(MONTH(DATE($G$1,12,ROW()-40))=12,COUNTIF(Feiertage!$A$2:$A$13,DATE($G$1,12,ROW()-40))&gt;0)</xm:f>
            <x14:dxf>
              <fill>
                <patternFill patternType="solid">
                  <fgColor rgb="FFDCE8C4"/>
                </patternFill>
              </fill>
            </x14:dxf>
          </x14:cfRule>
          <xm:sqref>F43</xm:sqref>
        </x14:conditionalFormatting>
        <x14:conditionalFormatting xmlns:xm="http://schemas.microsoft.com/office/excel/2006/main">
          <x14:cfRule type="expression" priority="1034" stopIfTrue="1" id="{C3C7391C-A3F8-4BEE-B7D7-32F4E92FFFC4}">
            <xm:f>AND(MONTH(DATE($G$1,12,ROW()-40))=12,COUNTIF(Feiertage!$A$2:$A$13,DATE($G$1,12,ROW()-40))&gt;0)</xm:f>
            <x14:dxf>
              <fill>
                <patternFill patternType="solid">
                  <fgColor rgb="FFDCE8C4"/>
                </patternFill>
              </fill>
            </x14:dxf>
          </x14:cfRule>
          <xm:sqref>F44</xm:sqref>
        </x14:conditionalFormatting>
        <x14:conditionalFormatting xmlns:xm="http://schemas.microsoft.com/office/excel/2006/main">
          <x14:cfRule type="expression" priority="1037" stopIfTrue="1" id="{F29E1C2A-DD96-424C-8FF0-244CA0D3F407}">
            <xm:f>AND(MONTH(DATE($G$1,12,ROW()-40))=12,COUNTIF(Feiertage!$A$2:$A$13,DATE($G$1,12,ROW()-40))&gt;0)</xm:f>
            <x14:dxf>
              <fill>
                <patternFill patternType="solid">
                  <fgColor rgb="FFDCE8C4"/>
                </patternFill>
              </fill>
            </x14:dxf>
          </x14:cfRule>
          <xm:sqref>F45</xm:sqref>
        </x14:conditionalFormatting>
        <x14:conditionalFormatting xmlns:xm="http://schemas.microsoft.com/office/excel/2006/main">
          <x14:cfRule type="expression" priority="1040" stopIfTrue="1" id="{A8DB1029-531F-407A-99BB-7226FC026AD5}">
            <xm:f>AND(MONTH(DATE($G$1,12,ROW()-40))=12,COUNTIF(Feiertage!$A$2:$A$13,DATE($G$1,12,ROW()-40))&gt;0)</xm:f>
            <x14:dxf>
              <fill>
                <patternFill patternType="solid">
                  <fgColor rgb="FFDCE8C4"/>
                </patternFill>
              </fill>
            </x14:dxf>
          </x14:cfRule>
          <xm:sqref>F46</xm:sqref>
        </x14:conditionalFormatting>
        <x14:conditionalFormatting xmlns:xm="http://schemas.microsoft.com/office/excel/2006/main">
          <x14:cfRule type="expression" priority="1043" stopIfTrue="1" id="{5E363F1D-B5FE-4E08-8DA2-AE5B56F4AEA6}">
            <xm:f>AND(MONTH(DATE($G$1,12,ROW()-40))=12,COUNTIF(Feiertage!$A$2:$A$13,DATE($G$1,12,ROW()-40))&gt;0)</xm:f>
            <x14:dxf>
              <fill>
                <patternFill patternType="solid">
                  <fgColor rgb="FFDCE8C4"/>
                </patternFill>
              </fill>
            </x14:dxf>
          </x14:cfRule>
          <xm:sqref>F47</xm:sqref>
        </x14:conditionalFormatting>
        <x14:conditionalFormatting xmlns:xm="http://schemas.microsoft.com/office/excel/2006/main">
          <x14:cfRule type="expression" priority="1046" stopIfTrue="1" id="{ABF7CC3D-8BCB-46DB-BBDD-AD3CBE16717A}">
            <xm:f>AND(MONTH(DATE($G$1,12,ROW()-40))=12,COUNTIF(Feiertage!$A$2:$A$13,DATE($G$1,12,ROW()-40))&gt;0)</xm:f>
            <x14:dxf>
              <fill>
                <patternFill patternType="solid">
                  <fgColor rgb="FFDCE8C4"/>
                </patternFill>
              </fill>
            </x14:dxf>
          </x14:cfRule>
          <xm:sqref>F48</xm:sqref>
        </x14:conditionalFormatting>
        <x14:conditionalFormatting xmlns:xm="http://schemas.microsoft.com/office/excel/2006/main">
          <x14:cfRule type="expression" priority="1049" stopIfTrue="1" id="{EB52488D-62B6-446C-890C-66FD1885F1C1}">
            <xm:f>AND(MONTH(DATE($G$1,12,ROW()-40))=12,COUNTIF(Feiertage!$A$2:$A$13,DATE($G$1,12,ROW()-40))&gt;0)</xm:f>
            <x14:dxf>
              <fill>
                <patternFill patternType="solid">
                  <fgColor rgb="FFDCE8C4"/>
                </patternFill>
              </fill>
            </x14:dxf>
          </x14:cfRule>
          <xm:sqref>F49</xm:sqref>
        </x14:conditionalFormatting>
        <x14:conditionalFormatting xmlns:xm="http://schemas.microsoft.com/office/excel/2006/main">
          <x14:cfRule type="expression" priority="1052" stopIfTrue="1" id="{3666C527-081C-4F54-B6C0-FBE80EAF9DCE}">
            <xm:f>AND(MONTH(DATE($G$1,12,ROW()-40))=12,COUNTIF(Feiertage!$A$2:$A$13,DATE($G$1,12,ROW()-40))&gt;0)</xm:f>
            <x14:dxf>
              <fill>
                <patternFill patternType="solid">
                  <fgColor rgb="FFDCE8C4"/>
                </patternFill>
              </fill>
            </x14:dxf>
          </x14:cfRule>
          <xm:sqref>F50</xm:sqref>
        </x14:conditionalFormatting>
        <x14:conditionalFormatting xmlns:xm="http://schemas.microsoft.com/office/excel/2006/main">
          <x14:cfRule type="expression" priority="1055" stopIfTrue="1" id="{847E0B0C-F62E-4EFC-A150-CBD8BCE1D901}">
            <xm:f>AND(MONTH(DATE($G$1,12,ROW()-40))=12,COUNTIF(Feiertage!$A$2:$A$13,DATE($G$1,12,ROW()-40))&gt;0)</xm:f>
            <x14:dxf>
              <fill>
                <patternFill patternType="solid">
                  <fgColor rgb="FFDCE8C4"/>
                </patternFill>
              </fill>
            </x14:dxf>
          </x14:cfRule>
          <xm:sqref>F51</xm:sqref>
        </x14:conditionalFormatting>
        <x14:conditionalFormatting xmlns:xm="http://schemas.microsoft.com/office/excel/2006/main">
          <x14:cfRule type="expression" priority="1058" stopIfTrue="1" id="{53206909-DBB1-47E2-A6F3-6BD54F90F969}">
            <xm:f>AND(MONTH(DATE($G$1,12,ROW()-40))=12,COUNTIF(Feiertage!$A$2:$A$13,DATE($G$1,12,ROW()-40))&gt;0)</xm:f>
            <x14:dxf>
              <fill>
                <patternFill patternType="solid">
                  <fgColor rgb="FFDCE8C4"/>
                </patternFill>
              </fill>
            </x14:dxf>
          </x14:cfRule>
          <xm:sqref>F52</xm:sqref>
        </x14:conditionalFormatting>
        <x14:conditionalFormatting xmlns:xm="http://schemas.microsoft.com/office/excel/2006/main">
          <x14:cfRule type="expression" priority="1061" stopIfTrue="1" id="{4D2E80D4-548A-4EF2-AF00-3719D03C1473}">
            <xm:f>AND(MONTH(DATE($G$1,12,ROW()-40))=12,COUNTIF(Feiertage!$A$2:$A$13,DATE($G$1,12,ROW()-40))&gt;0)</xm:f>
            <x14:dxf>
              <fill>
                <patternFill patternType="solid">
                  <fgColor rgb="FFDCE8C4"/>
                </patternFill>
              </fill>
            </x14:dxf>
          </x14:cfRule>
          <xm:sqref>F53</xm:sqref>
        </x14:conditionalFormatting>
        <x14:conditionalFormatting xmlns:xm="http://schemas.microsoft.com/office/excel/2006/main">
          <x14:cfRule type="expression" priority="1064" stopIfTrue="1" id="{E1EFD5D1-312D-4DF2-A3F5-6548BFF645A1}">
            <xm:f>AND(MONTH(DATE($G$1,12,ROW()-40))=12,COUNTIF(Feiertage!$A$2:$A$13,DATE($G$1,12,ROW()-40))&gt;0)</xm:f>
            <x14:dxf>
              <fill>
                <patternFill patternType="solid">
                  <fgColor rgb="FFDCE8C4"/>
                </patternFill>
              </fill>
            </x14:dxf>
          </x14:cfRule>
          <xm:sqref>F54</xm:sqref>
        </x14:conditionalFormatting>
        <x14:conditionalFormatting xmlns:xm="http://schemas.microsoft.com/office/excel/2006/main">
          <x14:cfRule type="expression" priority="1067" stopIfTrue="1" id="{EB095B03-283D-4B40-B983-FAF3DE776444}">
            <xm:f>AND(MONTH(DATE($G$1,12,ROW()-40))=12,COUNTIF(Feiertage!$A$2:$A$13,DATE($G$1,12,ROW()-40))&gt;0)</xm:f>
            <x14:dxf>
              <fill>
                <patternFill patternType="solid">
                  <fgColor rgb="FFDCE8C4"/>
                </patternFill>
              </fill>
            </x14:dxf>
          </x14:cfRule>
          <xm:sqref>F55</xm:sqref>
        </x14:conditionalFormatting>
        <x14:conditionalFormatting xmlns:xm="http://schemas.microsoft.com/office/excel/2006/main">
          <x14:cfRule type="expression" priority="1070" stopIfTrue="1" id="{32F4AA80-2FFD-4A42-B608-5E598EF615CB}">
            <xm:f>AND(MONTH(DATE($G$1,12,ROW()-40))=12,COUNTIF(Feiertage!$A$2:$A$13,DATE($G$1,12,ROW()-40))&gt;0)</xm:f>
            <x14:dxf>
              <fill>
                <patternFill patternType="solid">
                  <fgColor rgb="FFDCE8C4"/>
                </patternFill>
              </fill>
            </x14:dxf>
          </x14:cfRule>
          <xm:sqref>F56</xm:sqref>
        </x14:conditionalFormatting>
        <x14:conditionalFormatting xmlns:xm="http://schemas.microsoft.com/office/excel/2006/main">
          <x14:cfRule type="expression" priority="1073" stopIfTrue="1" id="{6AFD2CC6-AF98-4778-A975-20E577F0332B}">
            <xm:f>AND(MONTH(DATE($G$1,12,ROW()-40))=12,COUNTIF(Feiertage!$A$2:$A$13,DATE($G$1,12,ROW()-40))&gt;0)</xm:f>
            <x14:dxf>
              <fill>
                <patternFill patternType="solid">
                  <fgColor rgb="FFDCE8C4"/>
                </patternFill>
              </fill>
            </x14:dxf>
          </x14:cfRule>
          <xm:sqref>F57</xm:sqref>
        </x14:conditionalFormatting>
        <x14:conditionalFormatting xmlns:xm="http://schemas.microsoft.com/office/excel/2006/main">
          <x14:cfRule type="expression" priority="1076" stopIfTrue="1" id="{6E76EBB4-C465-47C3-8B92-F656D7A4BA36}">
            <xm:f>AND(MONTH(DATE($G$1,12,ROW()-40))=12,COUNTIF(Feiertage!$A$2:$A$13,DATE($G$1,12,ROW()-40))&gt;0)</xm:f>
            <x14:dxf>
              <fill>
                <patternFill patternType="solid">
                  <fgColor rgb="FFDCE8C4"/>
                </patternFill>
              </fill>
            </x14:dxf>
          </x14:cfRule>
          <xm:sqref>F58</xm:sqref>
        </x14:conditionalFormatting>
        <x14:conditionalFormatting xmlns:xm="http://schemas.microsoft.com/office/excel/2006/main">
          <x14:cfRule type="expression" priority="1079" stopIfTrue="1" id="{215C8814-FFE9-451B-8E57-ECF2099D8DFD}">
            <xm:f>AND(MONTH(DATE($G$1,12,ROW()-40))=12,COUNTIF(Feiertage!$A$2:$A$13,DATE($G$1,12,ROW()-40))&gt;0)</xm:f>
            <x14:dxf>
              <fill>
                <patternFill patternType="solid">
                  <fgColor rgb="FFDCE8C4"/>
                </patternFill>
              </fill>
            </x14:dxf>
          </x14:cfRule>
          <xm:sqref>F59</xm:sqref>
        </x14:conditionalFormatting>
        <x14:conditionalFormatting xmlns:xm="http://schemas.microsoft.com/office/excel/2006/main">
          <x14:cfRule type="expression" priority="1082" stopIfTrue="1" id="{036B866B-F5BA-40DD-826B-86D5221174A7}">
            <xm:f>AND(MONTH(DATE($G$1,12,ROW()-40))=12,COUNTIF(Feiertage!$A$2:$A$13,DATE($G$1,12,ROW()-40))&gt;0)</xm:f>
            <x14:dxf>
              <fill>
                <patternFill patternType="solid">
                  <fgColor rgb="FFDCE8C4"/>
                </patternFill>
              </fill>
            </x14:dxf>
          </x14:cfRule>
          <xm:sqref>F60</xm:sqref>
        </x14:conditionalFormatting>
        <x14:conditionalFormatting xmlns:xm="http://schemas.microsoft.com/office/excel/2006/main">
          <x14:cfRule type="expression" priority="1085" stopIfTrue="1" id="{EFCD9916-33C6-44A5-AA28-3F59904F6749}">
            <xm:f>AND(MONTH(DATE($G$1,12,ROW()-40))=12,COUNTIF(Feiertage!$A$2:$A$13,DATE($G$1,12,ROW()-40))&gt;0)</xm:f>
            <x14:dxf>
              <fill>
                <patternFill patternType="solid">
                  <fgColor rgb="FFDCE8C4"/>
                </patternFill>
              </fill>
            </x14:dxf>
          </x14:cfRule>
          <xm:sqref>F61</xm:sqref>
        </x14:conditionalFormatting>
        <x14:conditionalFormatting xmlns:xm="http://schemas.microsoft.com/office/excel/2006/main">
          <x14:cfRule type="expression" priority="1088" stopIfTrue="1" id="{A33DA27A-FC34-4C19-890E-E018C320CB3B}">
            <xm:f>AND(MONTH(DATE($G$1,12,ROW()-40))=12,COUNTIF(Feiertage!$A$2:$A$13,DATE($G$1,12,ROW()-40))&gt;0)</xm:f>
            <x14:dxf>
              <fill>
                <patternFill patternType="solid">
                  <fgColor rgb="FFDCE8C4"/>
                </patternFill>
              </fill>
            </x14:dxf>
          </x14:cfRule>
          <xm:sqref>F62</xm:sqref>
        </x14:conditionalFormatting>
        <x14:conditionalFormatting xmlns:xm="http://schemas.microsoft.com/office/excel/2006/main">
          <x14:cfRule type="expression" priority="1091" stopIfTrue="1" id="{36DD405E-DD58-46C2-A302-B191CA1E850C}">
            <xm:f>AND(MONTH(DATE($G$1,12,ROW()-40))=12,COUNTIF(Feiertage!$A$2:$A$13,DATE($G$1,12,ROW()-40))&gt;0)</xm:f>
            <x14:dxf>
              <fill>
                <patternFill patternType="solid">
                  <fgColor rgb="FFDCE8C4"/>
                </patternFill>
              </fill>
            </x14:dxf>
          </x14:cfRule>
          <xm:sqref>F63</xm:sqref>
        </x14:conditionalFormatting>
        <x14:conditionalFormatting xmlns:xm="http://schemas.microsoft.com/office/excel/2006/main">
          <x14:cfRule type="expression" priority="1094" stopIfTrue="1" id="{57FF260C-5E74-45C7-AB1F-1BAF9348F1A2}">
            <xm:f>AND(MONTH(DATE($G$1,12,ROW()-40))=12,COUNTIF(Feiertage!$A$2:$A$13,DATE($G$1,12,ROW()-40))&gt;0)</xm:f>
            <x14:dxf>
              <fill>
                <patternFill patternType="solid">
                  <fgColor rgb="FFDCE8C4"/>
                </patternFill>
              </fill>
            </x14:dxf>
          </x14:cfRule>
          <xm:sqref>F64</xm:sqref>
        </x14:conditionalFormatting>
        <x14:conditionalFormatting xmlns:xm="http://schemas.microsoft.com/office/excel/2006/main">
          <x14:cfRule type="expression" priority="1097" stopIfTrue="1" id="{4426CE28-ABBA-49F9-84ED-6CE69EB564B4}">
            <xm:f>AND(MONTH(DATE($G$1,12,ROW()-40))=12,COUNTIF(Feiertage!$A$2:$A$13,DATE($G$1,12,ROW()-40))&gt;0)</xm:f>
            <x14:dxf>
              <fill>
                <patternFill patternType="solid">
                  <fgColor rgb="FFDCE8C4"/>
                </patternFill>
              </fill>
            </x14:dxf>
          </x14:cfRule>
          <xm:sqref>F65</xm:sqref>
        </x14:conditionalFormatting>
        <x14:conditionalFormatting xmlns:xm="http://schemas.microsoft.com/office/excel/2006/main">
          <x14:cfRule type="expression" priority="1100" stopIfTrue="1" id="{0AE55824-F649-4D2C-9341-054DA6B8C2D4}">
            <xm:f>AND(MONTH(DATE($G$1,12,ROW()-40))=12,COUNTIF(Feiertage!$A$2:$A$13,DATE($G$1,12,ROW()-40))&gt;0)</xm:f>
            <x14:dxf>
              <fill>
                <patternFill patternType="solid">
                  <fgColor rgb="FFDCE8C4"/>
                </patternFill>
              </fill>
            </x14:dxf>
          </x14:cfRule>
          <xm:sqref>F66</xm:sqref>
        </x14:conditionalFormatting>
        <x14:conditionalFormatting xmlns:xm="http://schemas.microsoft.com/office/excel/2006/main">
          <x14:cfRule type="expression" priority="1103" stopIfTrue="1" id="{00D1FD65-C269-4008-8EB4-0B90AA2556C5}">
            <xm:f>AND(MONTH(DATE($G$1,12,ROW()-40))=12,COUNTIF(Feiertage!$A$2:$A$13,DATE($G$1,12,ROW()-40))&gt;0)</xm:f>
            <x14:dxf>
              <fill>
                <patternFill patternType="solid">
                  <fgColor rgb="FFDCE8C4"/>
                </patternFill>
              </fill>
            </x14:dxf>
          </x14:cfRule>
          <xm:sqref>F67</xm:sqref>
        </x14:conditionalFormatting>
        <x14:conditionalFormatting xmlns:xm="http://schemas.microsoft.com/office/excel/2006/main">
          <x14:cfRule type="expression" priority="1106" stopIfTrue="1" id="{DAB6AC6D-3CF7-478F-BA11-14C3C9A37A14}">
            <xm:f>AND(MONTH(DATE($G$1,12,ROW()-40))=12,COUNTIF(Feiertage!$A$2:$A$13,DATE($G$1,12,ROW()-40))&gt;0)</xm:f>
            <x14:dxf>
              <fill>
                <patternFill patternType="solid">
                  <fgColor rgb="FFDCE8C4"/>
                </patternFill>
              </fill>
            </x14:dxf>
          </x14:cfRule>
          <xm:sqref>F68</xm:sqref>
        </x14:conditionalFormatting>
        <x14:conditionalFormatting xmlns:xm="http://schemas.microsoft.com/office/excel/2006/main">
          <x14:cfRule type="expression" priority="1109" stopIfTrue="1" id="{12D1707A-D953-4C1E-B272-C1789DDAD1B2}">
            <xm:f>AND(MONTH(DATE($G$1,12,ROW()-40))=12,COUNTIF(Feiertage!$A$2:$A$13,DATE($G$1,12,ROW()-40))&gt;0)</xm:f>
            <x14:dxf>
              <fill>
                <patternFill patternType="solid">
                  <fgColor rgb="FFDCE8C4"/>
                </patternFill>
              </fill>
            </x14:dxf>
          </x14:cfRule>
          <xm:sqref>F69</xm:sqref>
        </x14:conditionalFormatting>
        <x14:conditionalFormatting xmlns:xm="http://schemas.microsoft.com/office/excel/2006/main">
          <x14:cfRule type="expression" priority="1112" stopIfTrue="1" id="{9F354126-E0D7-4B3E-8B0B-EDA957E84E7B}">
            <xm:f>AND(MONTH(DATE($G$1,12,ROW()-40))=12,COUNTIF(Feiertage!$A$2:$A$13,DATE($G$1,12,ROW()-40))&gt;0)</xm:f>
            <x14:dxf>
              <fill>
                <patternFill patternType="solid">
                  <fgColor rgb="FFDCE8C4"/>
                </patternFill>
              </fill>
            </x14:dxf>
          </x14:cfRule>
          <xm:sqref>F70</xm:sqref>
        </x14:conditionalFormatting>
        <x14:conditionalFormatting xmlns:xm="http://schemas.microsoft.com/office/excel/2006/main">
          <x14:cfRule type="expression" priority="1115" stopIfTrue="1" id="{2F25FDEF-0AA2-44ED-9011-FDE97E7664AF}">
            <xm:f>AND(MONTH(DATE($G$1,12,ROW()-40))=12,COUNTIF(Feiertage!$A$2:$A$13,DATE($G$1,12,ROW()-40))&gt;0)</xm:f>
            <x14:dxf>
              <fill>
                <patternFill patternType="solid">
                  <fgColor rgb="FFDCE8C4"/>
                </patternFill>
              </fill>
            </x14:dxf>
          </x14:cfRule>
          <xm:sqref>F71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5"/>
  <sheetViews>
    <sheetView showGridLines="0" workbookViewId="0">
      <pane ySplit="1" topLeftCell="A2" activePane="bottomLeft" state="frozen"/>
      <selection pane="bottomLeft"/>
    </sheetView>
  </sheetViews>
  <sheetFormatPr baseColWidth="10" defaultColWidth="8.83984375" defaultRowHeight="14.4" x14ac:dyDescent="0.55000000000000004"/>
  <cols>
    <col min="1" max="1" width="16" customWidth="1"/>
    <col min="2" max="2" width="58" customWidth="1"/>
    <col min="4" max="4" width="26" customWidth="1"/>
    <col min="5" max="18" width="13" hidden="1" customWidth="1"/>
  </cols>
  <sheetData>
    <row r="1" spans="1:18" x14ac:dyDescent="0.55000000000000004">
      <c r="A1" s="8" t="s">
        <v>13</v>
      </c>
      <c r="B1" s="8" t="s">
        <v>14</v>
      </c>
      <c r="D1" s="9" t="s">
        <v>15</v>
      </c>
      <c r="E1" s="10">
        <f>DATE(Kalender!$G$1,Q4,R4)</f>
        <v>46117</v>
      </c>
    </row>
    <row r="2" spans="1:18" x14ac:dyDescent="0.55000000000000004">
      <c r="A2" s="11">
        <f>DATE(Kalender!$G$1,1,1)</f>
        <v>46023</v>
      </c>
      <c r="B2" s="12" t="s">
        <v>16</v>
      </c>
    </row>
    <row r="3" spans="1:18" x14ac:dyDescent="0.55000000000000004">
      <c r="A3" s="11">
        <f>$E$1-2</f>
        <v>46115</v>
      </c>
      <c r="B3" s="12" t="s">
        <v>17</v>
      </c>
      <c r="E3" t="s">
        <v>18</v>
      </c>
      <c r="F3" t="s">
        <v>19</v>
      </c>
      <c r="G3" t="s">
        <v>20</v>
      </c>
      <c r="H3" t="s">
        <v>21</v>
      </c>
      <c r="I3" t="s">
        <v>22</v>
      </c>
      <c r="J3" t="s">
        <v>23</v>
      </c>
      <c r="K3" t="s">
        <v>24</v>
      </c>
      <c r="L3" t="s">
        <v>25</v>
      </c>
      <c r="M3" t="s">
        <v>26</v>
      </c>
      <c r="N3" t="s">
        <v>27</v>
      </c>
      <c r="O3" t="s">
        <v>28</v>
      </c>
      <c r="P3" t="s">
        <v>29</v>
      </c>
      <c r="Q3" t="s">
        <v>30</v>
      </c>
      <c r="R3" t="s">
        <v>31</v>
      </c>
    </row>
    <row r="4" spans="1:18" x14ac:dyDescent="0.55000000000000004">
      <c r="A4" s="11">
        <f>$E$1</f>
        <v>46117</v>
      </c>
      <c r="B4" s="12" t="s">
        <v>32</v>
      </c>
      <c r="E4">
        <f>MOD(Kalender!$G$1,19)</f>
        <v>12</v>
      </c>
      <c r="F4">
        <f>INT(Kalender!$G$1/100)</f>
        <v>20</v>
      </c>
      <c r="G4">
        <f>MOD(Kalender!$G$1,100)</f>
        <v>26</v>
      </c>
      <c r="H4">
        <f>INT(F4/4)</f>
        <v>5</v>
      </c>
      <c r="I4">
        <f>MOD(F4,4)</f>
        <v>0</v>
      </c>
      <c r="J4">
        <f>INT((F4+8)/25)</f>
        <v>1</v>
      </c>
      <c r="K4">
        <f>INT((F4-J4+1)/3)</f>
        <v>6</v>
      </c>
      <c r="L4">
        <f>MOD(19*E4+F4-H4-K4+15,30)</f>
        <v>12</v>
      </c>
      <c r="M4">
        <f>INT(G4/4)</f>
        <v>6</v>
      </c>
      <c r="N4">
        <f>MOD(G4,4)</f>
        <v>2</v>
      </c>
      <c r="O4">
        <f>MOD(32+2*I4+2*M4-L4-N4,7)</f>
        <v>2</v>
      </c>
      <c r="P4">
        <f>INT((E4+11*L4+22*O4)/451)</f>
        <v>0</v>
      </c>
      <c r="Q4">
        <f>INT((L4+O4-7*P4+114)/31)</f>
        <v>4</v>
      </c>
      <c r="R4">
        <f>MOD(L4+O4-7*P4+114,31)+1</f>
        <v>5</v>
      </c>
    </row>
    <row r="5" spans="1:18" x14ac:dyDescent="0.55000000000000004">
      <c r="A5" s="11">
        <f>$E$1+1</f>
        <v>46118</v>
      </c>
      <c r="B5" s="12" t="s">
        <v>33</v>
      </c>
    </row>
    <row r="6" spans="1:18" x14ac:dyDescent="0.55000000000000004">
      <c r="A6" s="11">
        <f>DATE(Kalender!$G$1,5,1)</f>
        <v>46143</v>
      </c>
      <c r="B6" s="12" t="s">
        <v>34</v>
      </c>
    </row>
    <row r="7" spans="1:18" x14ac:dyDescent="0.55000000000000004">
      <c r="A7" s="11">
        <f>$E$1+39</f>
        <v>46156</v>
      </c>
      <c r="B7" s="12" t="s">
        <v>35</v>
      </c>
    </row>
    <row r="8" spans="1:18" x14ac:dyDescent="0.55000000000000004">
      <c r="A8" s="11">
        <f>$E$1+49</f>
        <v>46166</v>
      </c>
      <c r="B8" s="12" t="s">
        <v>36</v>
      </c>
    </row>
    <row r="9" spans="1:18" x14ac:dyDescent="0.55000000000000004">
      <c r="A9" s="11">
        <f>$E$1+50</f>
        <v>46167</v>
      </c>
      <c r="B9" s="12" t="s">
        <v>37</v>
      </c>
    </row>
    <row r="10" spans="1:18" x14ac:dyDescent="0.55000000000000004">
      <c r="A10" s="11">
        <f>DATE(Kalender!$G$1,10,3)</f>
        <v>46298</v>
      </c>
      <c r="B10" s="12" t="s">
        <v>38</v>
      </c>
    </row>
    <row r="11" spans="1:18" x14ac:dyDescent="0.55000000000000004">
      <c r="A11" s="11">
        <f>DATE(Kalender!$G$1,10,31)</f>
        <v>46326</v>
      </c>
      <c r="B11" s="12" t="s">
        <v>39</v>
      </c>
    </row>
    <row r="12" spans="1:18" x14ac:dyDescent="0.55000000000000004">
      <c r="A12" s="11">
        <f>DATE(Kalender!$G$1,12,25)</f>
        <v>46381</v>
      </c>
      <c r="B12" s="12" t="s">
        <v>40</v>
      </c>
    </row>
    <row r="13" spans="1:18" x14ac:dyDescent="0.55000000000000004">
      <c r="A13" s="11">
        <f>DATE(Kalender!$G$1,12,26)</f>
        <v>46382</v>
      </c>
      <c r="B13" s="12" t="s">
        <v>41</v>
      </c>
    </row>
    <row r="15" spans="1:18" ht="28.8" x14ac:dyDescent="0.55000000000000004">
      <c r="A15" t="s">
        <v>42</v>
      </c>
      <c r="B15" s="13" t="s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2</vt:i4>
      </vt:variant>
      <vt:variant>
        <vt:lpstr>Benannte Bereiche</vt:lpstr>
      </vt:variant>
      <vt:variant>
        <vt:i4>2</vt:i4>
      </vt:variant>
    </vt:vector>
  </HeadingPairs>
  <TitlesOfParts>
    <vt:vector size="4" baseType="lpstr">
      <vt:lpstr>Kalender</vt:lpstr>
      <vt:lpstr>Feiertage</vt:lpstr>
      <vt:lpstr>Kalender!Druckbereich</vt:lpstr>
      <vt:lpstr>Kalender!Drucktitel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Luna Dios</cp:lastModifiedBy>
  <dcterms:created xsi:type="dcterms:W3CDTF">2026-10-21T08:57:13Z</dcterms:created>
  <dcterms:modified xsi:type="dcterms:W3CDTF">2026-10-27T07:15:53Z</dcterms:modified>
</cp:coreProperties>
</file>